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Datos" sheetId="2" state="visible" r:id="rId4"/>
    <sheet name="Plan" sheetId="3" state="visible" r:id="rId5"/>
    <sheet name="Dashboard" sheetId="4" state="visible" r:id="rId6"/>
    <sheet name="Listas" sheetId="5" state="visible" r:id="rId7"/>
    <sheet name="Firmas" sheetId="6" state="visible" r:id="rId8"/>
  </sheets>
  <definedNames>
    <definedName function="false" hidden="true" localSheetId="2" name="_xlnm._FilterDatabase" vbProcedure="false">Plan!$A$6:$AD$56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<sst xmlns="http://schemas.openxmlformats.org/spreadsheetml/2006/main" count="667" uniqueCount="298">
  <si>
    <t xml:space="preserve">WhatsApp 302 337 9738 · asegurasig.2026@asegurasig.com</t>
  </si>
  <si>
    <t xml:space="preserve">Plan Anual de Trabajo SG-SST</t>
  </si>
  <si>
    <t xml:space="preserve">Formato gratuito con dashboard · ASEGURA SIG</t>
  </si>
  <si>
    <t xml:space="preserve">Su respaldo estratégico en Sistemas Integrados de Gestión</t>
  </si>
  <si>
    <t xml:space="preserve">📌 ¿Qué exige la norma?</t>
  </si>
  <si>
    <t xml:space="preserve">• Decreto 1072 de 2015, art. 2.2.4.6.8, numeral 7: el empleador debe diseñar y desarrollar un plan de trabajo anual para alcanzar los objetivos del SG-SST, que identifique metas, responsabilidades, recursos y cronograma de actividades.</t>
  </si>
  <si>
    <t xml:space="preserve">• Decreto 1072 de 2015, art. 2.2.4.6.12, numeral 5: el plan debe estar firmado por el empleador y por el responsable del SG-SST.</t>
  </si>
  <si>
    <t xml:space="preserve">• Resolución 0312 de 2019: el plan anual de trabajo es estándar mínimo para empresas de 10 o menos, de 11 a 50 y de más de 50 trabajadores.</t>
  </si>
  <si>
    <t xml:space="preserve">🗂️ Hojas de este libro</t>
  </si>
  <si>
    <t xml:space="preserve">1. Datos → información de la empresa, mes de corte y rangos del semáforo (celdas amarillas).</t>
  </si>
  <si>
    <t xml:space="preserve">2. Plan → actividades con listas desplegables (PHVA, componente 0312, programa, recursos, frecuencia) y cronograma P/E/N.</t>
  </si>
  <si>
    <t xml:space="preserve">3. Dashboard → indicadores, semáforos y gráficos que se actualizan solos; filtre por programa con la lista desplegable.</t>
  </si>
  <si>
    <t xml:space="preserve">4. Listas → catálogos que alimentan las listas desplegables (puede agregar programas o responsables).</t>
  </si>
  <si>
    <t xml:space="preserve">5. Firmas → aprobación por el empleador y el responsable del SG-SST.</t>
  </si>
  <si>
    <t xml:space="preserve">🧭 Paso a paso</t>
  </si>
  <si>
    <t xml:space="preserve">1. Diligencie la hoja Datos. El "mes de corte" define hasta qué mes se mide el avance (por ejemplo, 6 = a junio).</t>
  </si>
  <si>
    <t xml:space="preserve">2. Construya las actividades a partir de su autoevaluación de estándares mínimos, su matriz de peligros, sus objetivos y las acciones pendientes.</t>
  </si>
  <si>
    <t xml:space="preserve">3. En cada mes marque P (programada). Al ejecutarla cámbiela por E. Si no se ejecutó en el mes, márquela N y reprográmela en otro mes con P.</t>
  </si>
  <si>
    <t xml:space="preserve">4. Revise el Dashboard cada mes con el COPASST o vigía y preséntelo en la revisión por la dirección y en la rendición de cuentas.</t>
  </si>
  <si>
    <t xml:space="preserve">5. Imprima y firme la hoja Firmas antes de iniciar el año.</t>
  </si>
  <si>
    <t xml:space="preserve">🚦 Semáforo</t>
  </si>
  <si>
    <t xml:space="preserve">🟢 Óptimo: cumplimiento igual o superior al rango verde · 🟡 Aceptable: entre el rango amarillo y el verde · 🔴 Crítico: por debajo del rango amarillo. Los rangos se ajustan en la hoja Datos.</t>
  </si>
  <si>
    <t xml:space="preserve">⚠️ Errores frecuentes</t>
  </si>
  <si>
    <t xml:space="preserve">• Copiar un plan genérico que no sale de la autoevaluación ni de la matriz de peligros.</t>
  </si>
  <si>
    <t xml:space="preserve">• Actividades sin responsable, sin presupuesto o sin evidencia definida.</t>
  </si>
  <si>
    <t xml:space="preserve">• No firmarlo, o firmarlo solo por el responsable del SG-SST.</t>
  </si>
  <si>
    <t xml:space="preserve">• Programar casi todo en el último trimestre.</t>
  </si>
  <si>
    <t xml:space="preserve">• No hacerle seguimiento mensual.</t>
  </si>
  <si>
    <t xml:space="preserve">Celdas amarillas o crema = las diligencia usted · Celdas grises = fórmulas (no las borre) · P = programada · E = ejecutada · N = no ejecutada</t>
  </si>
  <si>
    <t xml:space="preserve">Las actividades, meses ejecutados y presupuestos incluidos son un EJEMPLO (caso hipotético) para que vea el dashboard funcionando. Bórrelos y registre los de su empresa.</t>
  </si>
  <si>
    <t xml:space="preserve">¿Quiere que le ayudemos a construir su plan 2027? WhatsApp 302 337 9738 · asegurasig.2026@asegurasig.com</t>
  </si>
  <si>
    <t xml:space="preserve">Datos de la empresa</t>
  </si>
  <si>
    <t xml:space="preserve">Diligencie las celdas amarillas</t>
  </si>
  <si>
    <t xml:space="preserve">Razón social</t>
  </si>
  <si>
    <t xml:space="preserve">Empresa Ejemplo S.A.S. (caso hipotético)</t>
  </si>
  <si>
    <t xml:space="preserve">NIT</t>
  </si>
  <si>
    <t xml:space="preserve">900.000.000-0</t>
  </si>
  <si>
    <t xml:space="preserve">Actividad económica</t>
  </si>
  <si>
    <t xml:space="preserve">Metalmecánica (ejemplo)</t>
  </si>
  <si>
    <t xml:space="preserve">Clase de riesgo (I a V)</t>
  </si>
  <si>
    <t xml:space="preserve">III</t>
  </si>
  <si>
    <t xml:space="preserve">Lista desplegable</t>
  </si>
  <si>
    <t xml:space="preserve">Número de trabajadores</t>
  </si>
  <si>
    <t xml:space="preserve">Responsable del SG-SST</t>
  </si>
  <si>
    <t xml:space="preserve">Representante legal / empleador</t>
  </si>
  <si>
    <t xml:space="preserve">Año del plan</t>
  </si>
  <si>
    <t xml:space="preserve">Aparece en el título del plan y del dashboard.</t>
  </si>
  <si>
    <t xml:space="preserve">Mes de corte del seguimiento (1 a 12)</t>
  </si>
  <si>
    <t xml:space="preserve">El avance se mide hasta este mes. Ejemplo: 6 = a junio.</t>
  </si>
  <si>
    <t xml:space="preserve">Meta de cumplimiento del plan</t>
  </si>
  <si>
    <t xml:space="preserve">Definida por la empresa. 90 % es solo un ejemplo.</t>
  </si>
  <si>
    <t xml:space="preserve">🟢 Óptimo desde</t>
  </si>
  <si>
    <t xml:space="preserve">Rango del semáforo verde.</t>
  </si>
  <si>
    <t xml:space="preserve">🟡 Aceptable desde</t>
  </si>
  <si>
    <t xml:space="preserve">Rango del semáforo amarillo. Por debajo: 🔴 crítico.</t>
  </si>
  <si>
    <t xml:space="preserve">Decreto 1072 de 2015 (art. 2.2.4.6.8 num. 7) · Resolución 0312 de 2019</t>
  </si>
  <si>
    <t xml:space="preserve">¿QUÉ SE VA A HACER?</t>
  </si>
  <si>
    <t xml:space="preserve">CRONOGRAMA  ·  P = programada · E = ejecutada · N = no ejecutada</t>
  </si>
  <si>
    <t xml:space="preserve">SEGUIMIENTO AUTOMÁTICO</t>
  </si>
  <si>
    <t xml:space="preserve">N°</t>
  </si>
  <si>
    <t xml:space="preserve">Ciclo PHVA</t>
  </si>
  <si>
    <t xml:space="preserve">Componente Res. 0312</t>
  </si>
  <si>
    <t xml:space="preserve">Programa</t>
  </si>
  <si>
    <t xml:space="preserve">Actividad</t>
  </si>
  <si>
    <t xml:space="preserve">Meta</t>
  </si>
  <si>
    <t xml:space="preserve">Responsable</t>
  </si>
  <si>
    <t xml:space="preserve">Recursos</t>
  </si>
  <si>
    <t xml:space="preserve">Presupuesto ($)</t>
  </si>
  <si>
    <t xml:space="preserve">Frecuencia</t>
  </si>
  <si>
    <t xml:space="preserve">Evidencia / entregable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</si>
  <si>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</si>
  <si>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</si>
  <si>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</si>
  <si>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</si>
  <si>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</si>
  <si>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</si>
  <si>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</si>
  <si>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</si>
  <si>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</si>
  <si>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</si>
  <si>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</si>
  <si>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</si>
  <si>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Prog. año</t>
  </si>
  <si>
    <t xml:space="preserve">Prog. a la fecha</t>
  </si>
  <si>
    <t xml:space="preserve">Ejec. a la fecha</t>
  </si>
  <si>
    <t xml:space="preserve">% a la fecha</t>
  </si>
  <si>
    <t xml:space="preserve">Semáforo</t>
  </si>
  <si>
    <t xml:space="preserve">Estado</t>
  </si>
  <si>
    <t xml:space="preserve">Observaciones</t>
  </si>
  <si>
    <t xml:space="preserve">P</t>
  </si>
  <si>
    <t xml:space="preserve">Gestión integral del SG-SST</t>
  </si>
  <si>
    <t xml:space="preserve">Gestión del sistema</t>
  </si>
  <si>
    <t xml:space="preserve">Revisar, firmar y divulgar la política de SST</t>
  </si>
  <si>
    <t xml:space="preserve">Política firmada y divulgada al 100 % del personal</t>
  </si>
  <si>
    <t xml:space="preserve">Gerencia</t>
  </si>
  <si>
    <t xml:space="preserve">Humanos</t>
  </si>
  <si>
    <t xml:space="preserve">Anual</t>
  </si>
  <si>
    <t xml:space="preserve">Política firmada y acta de divulgación</t>
  </si>
  <si>
    <t xml:space="preserve">E</t>
  </si>
  <si>
    <t xml:space="preserve">Realizar la autoevaluación de estándares mínimos</t>
  </si>
  <si>
    <t xml:space="preserve">Autoevaluación con calificación</t>
  </si>
  <si>
    <t xml:space="preserve">Responsable SG-SST</t>
  </si>
  <si>
    <t xml:space="preserve">Formato de autoevaluación</t>
  </si>
  <si>
    <t xml:space="preserve">A</t>
  </si>
  <si>
    <t xml:space="preserve">Mejoramiento</t>
  </si>
  <si>
    <t xml:space="preserve">Elaborar el plan de mejoramiento según la autoevaluación</t>
  </si>
  <si>
    <t xml:space="preserve">Plan aprobado por la gerencia</t>
  </si>
  <si>
    <t xml:space="preserve">Plan de mejoramiento</t>
  </si>
  <si>
    <t xml:space="preserve">Reportar autoevaluación y plan de mejora en la plataforma del Ministerio del Trabajo</t>
  </si>
  <si>
    <t xml:space="preserve">Reporte dentro del plazo</t>
  </si>
  <si>
    <t xml:space="preserve">Tecnológicos</t>
  </si>
  <si>
    <t xml:space="preserve">Constancia de reporte</t>
  </si>
  <si>
    <t xml:space="preserve">Asignar y documentar el presupuesto del SG-SST</t>
  </si>
  <si>
    <t xml:space="preserve">Presupuesto aprobado</t>
  </si>
  <si>
    <t xml:space="preserve">Financieros</t>
  </si>
  <si>
    <t xml:space="preserve">Presupuesto firmado</t>
  </si>
  <si>
    <t xml:space="preserve">Gestión de peligros y riesgos</t>
  </si>
  <si>
    <t xml:space="preserve">Identificación de peligros</t>
  </si>
  <si>
    <t xml:space="preserve">Actualizar la matriz de peligros (GTC 45) con participación de los trabajadores</t>
  </si>
  <si>
    <t xml:space="preserve">100 % de procesos evaluados</t>
  </si>
  <si>
    <t xml:space="preserve">Matriz actualizada</t>
  </si>
  <si>
    <t xml:space="preserve">Requisitos legales</t>
  </si>
  <si>
    <t xml:space="preserve">Actualizar y evaluar la matriz legal</t>
  </si>
  <si>
    <t xml:space="preserve">Matriz al día y evaluada</t>
  </si>
  <si>
    <t xml:space="preserve">Semestral</t>
  </si>
  <si>
    <t xml:space="preserve">Matriz legal</t>
  </si>
  <si>
    <t xml:space="preserve">Definir objetivos, metas e indicadores del SG-SST</t>
  </si>
  <si>
    <t xml:space="preserve">Objetivos medibles con ficha</t>
  </si>
  <si>
    <t xml:space="preserve">Gerencia y responsable SG-SST</t>
  </si>
  <si>
    <t xml:space="preserve">Fichas de indicadores</t>
  </si>
  <si>
    <t xml:space="preserve">H</t>
  </si>
  <si>
    <t xml:space="preserve">Capacitación</t>
  </si>
  <si>
    <t xml:space="preserve">Inducción y reinducción en SST</t>
  </si>
  <si>
    <t xml:space="preserve">100 % del personal nuevo y antiguo</t>
  </si>
  <si>
    <t xml:space="preserve">Talento humano</t>
  </si>
  <si>
    <t xml:space="preserve">Registros de asistencia y evaluación</t>
  </si>
  <si>
    <t xml:space="preserve">Ejecutar el plan anual de capacitación por riesgos</t>
  </si>
  <si>
    <t xml:space="preserve">Capacitaciones del plan realizadas</t>
  </si>
  <si>
    <t xml:space="preserve">Humanos y financieros</t>
  </si>
  <si>
    <t xml:space="preserve">Bimestral</t>
  </si>
  <si>
    <t xml:space="preserve">Actas, asistencia y evaluaciones</t>
  </si>
  <si>
    <t xml:space="preserve">N</t>
  </si>
  <si>
    <t xml:space="preserve">Comités</t>
  </si>
  <si>
    <t xml:space="preserve">Reuniones mensuales del COPASST o vigía</t>
  </si>
  <si>
    <t xml:space="preserve">12 reuniones con acta</t>
  </si>
  <si>
    <t xml:space="preserve">Presidente COPASST</t>
  </si>
  <si>
    <t xml:space="preserve">Mensual</t>
  </si>
  <si>
    <t xml:space="preserve">Actas de reunión</t>
  </si>
  <si>
    <t xml:space="preserve">Reuniones del Comité de Convivencia Laboral</t>
  </si>
  <si>
    <t xml:space="preserve">4 reuniones con acta</t>
  </si>
  <si>
    <t xml:space="preserve">Comité de Convivencia</t>
  </si>
  <si>
    <t xml:space="preserve">Trimestral</t>
  </si>
  <si>
    <t xml:space="preserve">Gestión de la salud</t>
  </si>
  <si>
    <t xml:space="preserve">Medicina del trabajo</t>
  </si>
  <si>
    <t xml:space="preserve">Exámenes médicos ocupacionales periódicos según el profesiograma</t>
  </si>
  <si>
    <t xml:space="preserve">Personal programado evaluado</t>
  </si>
  <si>
    <t xml:space="preserve">Certificados de aptitud</t>
  </si>
  <si>
    <t xml:space="preserve">Analizar el diagnóstico de condiciones de salud</t>
  </si>
  <si>
    <t xml:space="preserve">Informe analizado con plan de acción</t>
  </si>
  <si>
    <t xml:space="preserve">Informe y plan de acción</t>
  </si>
  <si>
    <t xml:space="preserve">Vigilancia epidemiológica</t>
  </si>
  <si>
    <t xml:space="preserve">Programa de prevención de desórdenes musculoesqueléticos</t>
  </si>
  <si>
    <t xml:space="preserve">Programa ejecutado según cronograma</t>
  </si>
  <si>
    <t xml:space="preserve">ARL</t>
  </si>
  <si>
    <t xml:space="preserve">Registros del programa</t>
  </si>
  <si>
    <t xml:space="preserve">Riesgo psicosocial</t>
  </si>
  <si>
    <t xml:space="preserve">Aplicar o hacer seguimiento a la batería de riesgo psicosocial</t>
  </si>
  <si>
    <t xml:space="preserve">Según periodicidad de su nivel de riesgo</t>
  </si>
  <si>
    <t xml:space="preserve">Psicólogo especialista</t>
  </si>
  <si>
    <t xml:space="preserve">Informe de batería</t>
  </si>
  <si>
    <t xml:space="preserve">Inspecciones</t>
  </si>
  <si>
    <t xml:space="preserve">Inspecciones planeadas a instalaciones, máquinas y herramientas</t>
  </si>
  <si>
    <t xml:space="preserve">Inspecciones del cronograma con hallazgos cerrados</t>
  </si>
  <si>
    <t xml:space="preserve">Responsable SG-SST y COPASST</t>
  </si>
  <si>
    <t xml:space="preserve">Formatos de inspección</t>
  </si>
  <si>
    <t xml:space="preserve">Elementos de protección personal</t>
  </si>
  <si>
    <t xml:space="preserve">Entrega, reposición e inspección de EPP</t>
  </si>
  <si>
    <t xml:space="preserve">Personal con EPP vigente</t>
  </si>
  <si>
    <t xml:space="preserve">Almacén y SST</t>
  </si>
  <si>
    <t xml:space="preserve">Formatos de entrega</t>
  </si>
  <si>
    <t xml:space="preserve">Gestión de amenazas</t>
  </si>
  <si>
    <t xml:space="preserve">Emergencias</t>
  </si>
  <si>
    <t xml:space="preserve">Actualizar el plan de prevención, preparación y respuesta ante emergencias</t>
  </si>
  <si>
    <t xml:space="preserve">Plan actualizado y divulgado</t>
  </si>
  <si>
    <t xml:space="preserve">Plan actualizado</t>
  </si>
  <si>
    <t xml:space="preserve">Capacitar y entrenar a la brigada de emergencias</t>
  </si>
  <si>
    <t xml:space="preserve">Brigada entrenada</t>
  </si>
  <si>
    <t xml:space="preserve">Coordinador de brigada</t>
  </si>
  <si>
    <t xml:space="preserve">Registros de entrenamiento</t>
  </si>
  <si>
    <t xml:space="preserve">Simulacro con participación de todos los trabajadores</t>
  </si>
  <si>
    <t xml:space="preserve">Mínimo 1 al año</t>
  </si>
  <si>
    <t xml:space="preserve">Informe de evaluación del simulacro</t>
  </si>
  <si>
    <t xml:space="preserve">Inspeccionar extintores, botiquines y equipos de emergencia</t>
  </si>
  <si>
    <t xml:space="preserve">Equipos operativos</t>
  </si>
  <si>
    <t xml:space="preserve">Brigada</t>
  </si>
  <si>
    <t xml:space="preserve">Técnicos</t>
  </si>
  <si>
    <t xml:space="preserve">Listas de chequeo</t>
  </si>
  <si>
    <t xml:space="preserve">Tareas de alto riesgo</t>
  </si>
  <si>
    <t xml:space="preserve">Gestionar permisos de trabajo y certificaciones (alturas, espacios confinados, caliente)</t>
  </si>
  <si>
    <t xml:space="preserve">100 % de tareas con permiso</t>
  </si>
  <si>
    <t xml:space="preserve">Coordinador de alturas</t>
  </si>
  <si>
    <t xml:space="preserve">Permisos y certificados</t>
  </si>
  <si>
    <t xml:space="preserve">Contratistas</t>
  </si>
  <si>
    <t xml:space="preserve">Verificar el SG-SST y la afiliación de contratistas</t>
  </si>
  <si>
    <t xml:space="preserve">Contratistas evaluados</t>
  </si>
  <si>
    <t xml:space="preserve">Compras y SST</t>
  </si>
  <si>
    <t xml:space="preserve">Listas de verificación</t>
  </si>
  <si>
    <t xml:space="preserve">Gestión del cambio</t>
  </si>
  <si>
    <t xml:space="preserve">Evaluar el impacto en SST de cambios internos y externos</t>
  </si>
  <si>
    <t xml:space="preserve">Cambios evaluados antes de implementarse</t>
  </si>
  <si>
    <t xml:space="preserve">Formatos de gestión del cambio</t>
  </si>
  <si>
    <t xml:space="preserve">Accidentalidad</t>
  </si>
  <si>
    <t xml:space="preserve">Reportar e investigar incidentes, accidentes y enfermedades laborales</t>
  </si>
  <si>
    <t xml:space="preserve">100 % investigados en los plazos</t>
  </si>
  <si>
    <t xml:space="preserve">Equipo investigador</t>
  </si>
  <si>
    <t xml:space="preserve">Informes de investigación</t>
  </si>
  <si>
    <t xml:space="preserve">Seguridad vial</t>
  </si>
  <si>
    <t xml:space="preserve">Inspección preoperacional y mantenimiento de vehículos</t>
  </si>
  <si>
    <t xml:space="preserve">Vehículos inspeccionados</t>
  </si>
  <si>
    <t xml:space="preserve">Líder de seguridad vial</t>
  </si>
  <si>
    <t xml:space="preserve">Listas preoperacionales</t>
  </si>
  <si>
    <t xml:space="preserve">V</t>
  </si>
  <si>
    <t xml:space="preserve">Verificación del SG-SST</t>
  </si>
  <si>
    <t xml:space="preserve">Indicadores</t>
  </si>
  <si>
    <t xml:space="preserve">Medir y analizar los indicadores del SG-SST</t>
  </si>
  <si>
    <t xml:space="preserve">Indicadores al día con análisis</t>
  </si>
  <si>
    <t xml:space="preserve">Tablero de indicadores</t>
  </si>
  <si>
    <t xml:space="preserve">Auditoría</t>
  </si>
  <si>
    <t xml:space="preserve">Auditoría interna del SG-SST con participación del COPASST</t>
  </si>
  <si>
    <t xml:space="preserve">1 auditoría con informe</t>
  </si>
  <si>
    <t xml:space="preserve">Auditor interno</t>
  </si>
  <si>
    <t xml:space="preserve">Informe de auditoría</t>
  </si>
  <si>
    <t xml:space="preserve">Revisión por la dirección</t>
  </si>
  <si>
    <t xml:space="preserve">Revisión por la alta dirección</t>
  </si>
  <si>
    <t xml:space="preserve">1 revisión con acta</t>
  </si>
  <si>
    <t xml:space="preserve">Acta de revisión</t>
  </si>
  <si>
    <t xml:space="preserve">Mejora continua</t>
  </si>
  <si>
    <t xml:space="preserve">Seguimiento a acciones preventivas, correctivas y de mejora</t>
  </si>
  <si>
    <t xml:space="preserve">Acciones cerradas y eficaces</t>
  </si>
  <si>
    <t xml:space="preserve">Matriz de acciones</t>
  </si>
  <si>
    <t xml:space="preserve">Rendición de cuentas en SST</t>
  </si>
  <si>
    <t xml:space="preserve">Rendición realizada por todos los niveles</t>
  </si>
  <si>
    <t xml:space="preserve">Acta o registro</t>
  </si>
  <si>
    <t xml:space="preserve">TOTAL</t>
  </si>
  <si>
    <t xml:space="preserve">Ejemplo (caso hipotético) con corte a junio: borre las actividades y marcas de ejemplo y registre las de su empresa. Agregue actividades en las filas en blanco.</t>
  </si>
  <si>
    <t xml:space="preserve">Formato gratuito de ASEGURA SIG · WhatsApp 302 337 9738 · asegurasig.2026@asegurasig.com</t>
  </si>
  <si>
    <t xml:space="preserve">Dashboard del plan de trabajo</t>
  </si>
  <si>
    <t xml:space="preserve">Se actualiza solo con la hoja Plan</t>
  </si>
  <si>
    <t xml:space="preserve">📊 Gráficos dinámicos: cambian solos cuando marca E en la hoja Plan o cambia el mes de corte en Datos.</t>
  </si>
  <si>
    <t xml:space="preserve">Actividades</t>
  </si>
  <si>
    <t xml:space="preserve">% cumplimiento</t>
  </si>
  <si>
    <t xml:space="preserve">Presupuesto total</t>
  </si>
  <si>
    <t xml:space="preserve">📅 Avance mensual</t>
  </si>
  <si>
    <t xml:space="preserve">🔄 Por ciclo PHVA</t>
  </si>
  <si>
    <t xml:space="preserve">Mes</t>
  </si>
  <si>
    <t xml:space="preserve">Programadas</t>
  </si>
  <si>
    <t xml:space="preserve">Ejecutadas</t>
  </si>
  <si>
    <t xml:space="preserve">% mes</t>
  </si>
  <si>
    <t xml:space="preserve">% acumulado</t>
  </si>
  <si>
    <t xml:space="preserve">Ciclo</t>
  </si>
  <si>
    <t xml:space="preserve">Prog. fecha</t>
  </si>
  <si>
    <t xml:space="preserve">Ejec. fecha</t>
  </si>
  <si>
    <t xml:space="preserve">%</t>
  </si>
  <si>
    <t xml:space="preserve">P · Planear</t>
  </si>
  <si>
    <t xml:space="preserve">H · Hacer</t>
  </si>
  <si>
    <t xml:space="preserve">V · Verificar</t>
  </si>
  <si>
    <t xml:space="preserve">A · Actuar</t>
  </si>
  <si>
    <t xml:space="preserve">📘 Por componente Res. 0312</t>
  </si>
  <si>
    <t xml:space="preserve">Componente</t>
  </si>
  <si>
    <t xml:space="preserve">Presupuesto</t>
  </si>
  <si>
    <t xml:space="preserve">🧩 Por programa</t>
  </si>
  <si>
    <t xml:space="preserve">🔎 Consulte un programa</t>
  </si>
  <si>
    <t xml:space="preserve">Seleccione:</t>
  </si>
  <si>
    <t xml:space="preserve">Programadas a la fecha</t>
  </si>
  <si>
    <t xml:space="preserve">Ejecutadas a la fecha</t>
  </si>
  <si>
    <t xml:space="preserve">% de cumplimiento</t>
  </si>
  <si>
    <t xml:space="preserve">Actividades atrasadas</t>
  </si>
  <si>
    <t xml:space="preserve">Total de actividades atrasadas en el plan:</t>
  </si>
  <si>
    <t xml:space="preserve">📈 Curva S · acumulados</t>
  </si>
  <si>
    <t xml:space="preserve">Programado acumulado</t>
  </si>
  <si>
    <t xml:space="preserve">Ejecutado acumulado</t>
  </si>
  <si>
    <t xml:space="preserve">Listas desplegables</t>
  </si>
  <si>
    <t xml:space="preserve">Puede agregar elementos al final de cada columna</t>
  </si>
  <si>
    <t xml:space="preserve">Marca mensual</t>
  </si>
  <si>
    <t xml:space="preserve">Única</t>
  </si>
  <si>
    <t xml:space="preserve">Humanos y técnicos</t>
  </si>
  <si>
    <t xml:space="preserve">Cuando ocurra</t>
  </si>
  <si>
    <t xml:space="preserve">P = Planear · H = Hacer · V = Verificar · A = Actuar  |  P = programada · E = ejecutada · N = no ejecutada</t>
  </si>
  <si>
    <t xml:space="preserve">Aprobación del plan</t>
  </si>
  <si>
    <t xml:space="preserve">Decreto 1072 de 2015, art. 2.2.4.6.12 num. 5</t>
  </si>
  <si>
    <t xml:space="preserve">Plan anual de trabajo del SG-SST · Año:</t>
  </si>
  <si>
    <t xml:space="preserve">Empresa:</t>
  </si>
  <si>
    <t xml:space="preserve">Total de actividades:</t>
  </si>
  <si>
    <t xml:space="preserve">Actividades programadas en el año:</t>
  </si>
  <si>
    <t xml:space="preserve">Presupuesto total del plan:</t>
  </si>
  <si>
    <t xml:space="preserve">_______________________________</t>
  </si>
  <si>
    <t xml:space="preserve">Empleador / representante legal</t>
  </si>
  <si>
    <t xml:space="preserve">Fecha: ____ / ____ / ________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</si>
</sst>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\$#,##0;&quot;($&quot;#,##0\);\-"/>
    <numFmt numFmtId="167" formatCode="0;\-0;;@"/>
    <numFmt numFmtId="168" formatCode="\$#,##0"/>
    <numFmt numFmtId="169" formatCode="0"/>
    <numFmt numFmtId="170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2EC4CE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3"/>
      <color rgb="FF1B5FC1"/>
      <name val="Arial"/>
      <family val="0"/>
      <charset val="1"/>
    </font>
    <font>
      <sz val="10"/>
      <color rgb="FF0A2342"/>
      <name val="Arial"/>
      <family val="0"/>
      <charset val="1"/>
    </font>
    <font>
      <b val="true"/>
      <sz val="13"/>
      <color rgb="FFE04848"/>
      <name val="Arial"/>
      <family val="0"/>
      <charset val="1"/>
    </font>
    <font>
      <b val="true"/>
      <sz val="10"/>
      <color rgb="FFF28C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A234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4356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A234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A2342"/>
      <name val="Arial"/>
      <family val="0"/>
      <charset val="1"/>
    </font>
    <font>
      <b val="true"/>
      <sz val="10"/>
      <color rgb="FF0A2342"/>
      <name val="Arial"/>
      <family val="0"/>
      <charset val="1"/>
    </font>
    <font>
      <i val="true"/>
      <sz val="9"/>
      <color rgb="FFF28C28"/>
      <name val="Arial"/>
      <family val="0"/>
      <charset val="1"/>
    </font>
    <font>
      <b val="true"/>
      <sz val="9"/>
      <color rgb="FF1B5FC1"/>
      <name val="Arial"/>
      <family val="0"/>
      <charset val="1"/>
    </font>
    <font>
      <b val="true"/>
      <sz val="20"/>
      <color rgb="FF0A2342"/>
      <name val="Arial"/>
      <family val="0"/>
      <charset val="1"/>
    </font>
    <font>
      <b val="true"/>
      <sz val="12"/>
      <color rgb="FF1B5FC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E04848"/>
      <name val="Arial"/>
      <family val="0"/>
      <charset val="1"/>
    </font>
    <font>
      <b val="true"/>
      <sz val="11"/>
      <color rgb="FFE0484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A2342"/>
      <name val="Arial"/>
      <family val="0"/>
      <charset val="1"/>
    </font>
    <font>
      <sz val="11"/>
      <color rgb="FF43566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2342"/>
        <bgColor rgb="FF003300"/>
      </patternFill>
    </fill>
    <fill>
      <patternFill patternType="solid">
        <fgColor rgb="FFFFF4C2"/>
        <bgColor rgb="FFFFFDF0"/>
      </patternFill>
    </fill>
    <fill>
      <patternFill patternType="solid">
        <fgColor rgb="FF1B5FC1"/>
        <bgColor rgb="FF4672A8"/>
      </patternFill>
    </fill>
    <fill>
      <patternFill patternType="solid">
        <fgColor rgb="FFF5F7FA"/>
        <bgColor rgb="FFEEF1F5"/>
      </patternFill>
    </fill>
    <fill>
      <patternFill patternType="solid">
        <fgColor rgb="FF2EC4CE"/>
        <bgColor rgb="FF2FBF71"/>
      </patternFill>
    </fill>
    <fill>
      <patternFill patternType="solid">
        <fgColor rgb="FFFFFDF0"/>
        <bgColor rgb="FFFFFFFF"/>
      </patternFill>
    </fill>
    <fill>
      <patternFill patternType="solid">
        <fgColor rgb="FFEEF1F5"/>
        <bgColor rgb="FFF5F7FA"/>
      </patternFill>
    </fill>
    <fill>
      <patternFill patternType="solid">
        <fgColor rgb="FFFFFFFF"/>
        <bgColor rgb="FFFFFD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A23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F0"/>
          <bgColor rgb="FF000000"/>
        </patternFill>
      </fill>
    </dxf>
    <dxf>
      <fill>
        <patternFill patternType="solid">
          <fgColor rgb="FF1B5FC1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E04848"/>
          <bgColor rgb="FF000000"/>
        </patternFill>
      </fill>
    </dxf>
    <dxf>
      <fill>
        <patternFill patternType="solid">
          <fgColor rgb="FFDCE8FB"/>
          <bgColor rgb="FF000000"/>
        </patternFill>
      </fill>
    </dxf>
    <dxf>
      <fill>
        <patternFill patternType="solid">
          <fgColor rgb="FF2EC4CE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9A6700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ont>
        <name val="Arial"/>
        <charset val="1"/>
        <family val="0"/>
        <b val="1"/>
        <color rgb="FF1B5FC1"/>
      </font>
      <fill>
        <patternFill>
          <bgColor rgb="FFDCE8FB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E04848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9A6700"/>
      </font>
      <fill>
        <patternFill>
          <bgColor rgb="FFFFF4C2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DCE8FB"/>
        </patternFill>
      </fill>
    </dxf>
    <dxf>
      <fill>
        <patternFill>
          <bgColor rgb="FFF5F7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4299B0"/>
      <rgbColor rgb="FFD9D9D9"/>
      <rgbColor rgb="FF878787"/>
      <rgbColor rgb="FF93A9CE"/>
      <rgbColor rgb="FFAB4744"/>
      <rgbColor rgb="FFFFF4C2"/>
      <rgbColor rgb="FFDCE8FB"/>
      <rgbColor rgb="FF660066"/>
      <rgbColor rgb="FFDC853E"/>
      <rgbColor rgb="FF1B5FC1"/>
      <rgbColor rgb="FFC9D3DF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2FBF71"/>
      <rgbColor rgb="FFEEF1F5"/>
      <rgbColor rgb="FFD5F5E3"/>
      <rgbColor rgb="FFFFFDF0"/>
      <rgbColor rgb="FFF5F7FA"/>
      <rgbColor rgb="FFFF99CC"/>
      <rgbColor rgb="FFCC99FF"/>
      <rgbColor rgb="FFFADBD8"/>
      <rgbColor rgb="FF4672A8"/>
      <rgbColor rgb="FF2EC4CE"/>
      <rgbColor rgb="FF99CC00"/>
      <rgbColor rgb="FFFFCC00"/>
      <rgbColor rgb="FFF28C28"/>
      <rgbColor rgb="FFE04848"/>
      <rgbColor rgb="FF725990"/>
      <rgbColor rgb="FF8AA64F"/>
      <rgbColor rgb="FF0A2342"/>
      <rgbColor rgb="FF1E8449"/>
      <rgbColor rgb="FF003300"/>
      <rgbColor rgb="FF333300"/>
      <rgbColor rgb="FF993300"/>
      <rgbColor rgb="FF993366"/>
      <rgbColor rgb="FF4356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Cumplimiento mensual vs.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Dashboard!E11</c:f>
              <c:strCache>
                <c:ptCount val="1"/>
                <c:pt idx="0">
                  <c:v>% mes</c:v>
                </c:pt>
              </c:strCache>
            </c:strRef>
          </c:tx>
          <c:spPr>
            <a:solidFill>
              <a:srgbClr val="1b5fc1"/>
            </a:solidFill>
            <a:ln w="9360">
              <a:solidFill>
                <a:srgbClr val="1b5fc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Dashboard!$E$12:$E$23</c:f>
              <c:numCache>
                <c:formatCode>0%</c:formatCode>
                <c:ptCount val="12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0.833333333333333</c:v>
                </c:pt>
                <c:pt idx="5">
                  <c:v>0.9</c:v>
                </c:pt>
              </c:numCache>
            </c:numRef>
          </c:val>
        </c:ser>
        <c:gapWidth val="150"/>
        <c:overlap val="0"/>
        <c:axId val="49430922"/>
        <c:axId val="78931136"/>
      </c:barChart>
      <c:lineChart>
        <c:grouping val="standard"/>
        <c:varyColors val="0"/>
        <c:ser>
          <c:idx val="1"/>
          <c:order val="1"/>
          <c:tx>
            <c:strRef>
              <c:f>Dashboard!F11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f28c28"/>
            </a:solidFill>
            <a:ln w="28080">
              <a:solidFill>
                <a:srgbClr val="f28c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Dashboard!$F$12:$F$23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430922"/>
        <c:axId val="78931136"/>
      </c:lineChart>
      <c:catAx>
        <c:axId val="494309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31136"/>
        <c:crosses val="autoZero"/>
        <c:auto val="1"/>
        <c:lblAlgn val="ctr"/>
        <c:lblOffset val="100"/>
        <c:noMultiLvlLbl val="0"/>
      </c:catAx>
      <c:valAx>
        <c:axId val="78931136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309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S: programado vs. ejecutado (acumulado)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Dashboard!C64</c:f>
              <c:strCache>
                <c:ptCount val="1"/>
                <c:pt idx="0">
                  <c:v>Programado acumulado</c:v>
                </c:pt>
              </c:strCache>
            </c:strRef>
          </c:tx>
          <c:spPr>
            <a:solidFill>
              <a:srgbClr val="1b5fc1"/>
            </a:solidFill>
            <a:ln w="32040">
              <a:solidFill>
                <a:srgbClr val="1b5f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Dashboard!$B$65:$B$76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Dashboard!$C$65:$C$76</c:f>
              <c:numCache>
                <c:formatCode>General</c:formatCode>
                <c:ptCount val="12"/>
                <c:pt idx="0">
                  <c:v>11</c:v>
                </c:pt>
                <c:pt idx="1">
                  <c:v>21</c:v>
                </c:pt>
                <c:pt idx="2">
                  <c:v>31</c:v>
                </c:pt>
                <c:pt idx="3">
                  <c:v>41</c:v>
                </c:pt>
                <c:pt idx="4">
                  <c:v>47</c:v>
                </c:pt>
                <c:pt idx="5">
                  <c:v>57</c:v>
                </c:pt>
                <c:pt idx="6">
                  <c:v>66</c:v>
                </c:pt>
                <c:pt idx="7">
                  <c:v>75</c:v>
                </c:pt>
                <c:pt idx="8">
                  <c:v>84</c:v>
                </c:pt>
                <c:pt idx="9">
                  <c:v>93</c:v>
                </c:pt>
                <c:pt idx="10">
                  <c:v>99</c:v>
                </c:pt>
                <c:pt idx="11">
                  <c:v>110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Dashboard!D64</c:f>
              <c:strCache>
                <c:ptCount val="1"/>
                <c:pt idx="0">
                  <c:v>Ejecutado acumulado</c:v>
                </c:pt>
              </c:strCache>
            </c:strRef>
          </c:tx>
          <c:spPr>
            <a:solidFill>
              <a:srgbClr val="2fbf71"/>
            </a:solidFill>
            <a:ln w="32040">
              <a:solidFill>
                <a:srgbClr val="2fbf7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Dashboard!$B$65:$B$76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Dashboard!$D$65:$D$76</c:f>
              <c:numCache>
                <c:formatCode>General</c:formatCode>
                <c:ptCount val="12"/>
                <c:pt idx="0">
                  <c:v>11</c:v>
                </c:pt>
                <c:pt idx="1">
                  <c:v>20</c:v>
                </c:pt>
                <c:pt idx="2">
                  <c:v>29</c:v>
                </c:pt>
                <c:pt idx="3">
                  <c:v>38</c:v>
                </c:pt>
                <c:pt idx="4">
                  <c:v>43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485842"/>
        <c:axId val="86919910"/>
      </c:lineChart>
      <c:catAx>
        <c:axId val="84485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9910"/>
        <c:crosses val="autoZero"/>
        <c:auto val="1"/>
        <c:lblAlgn val="ctr"/>
        <c:lblOffset val="100"/>
        <c:noMultiLvlLbl val="0"/>
      </c:catAx>
      <c:valAx>
        <c:axId val="86919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858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Cumplimiento por ciclo PHVA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Dashboard!K11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2ec4ce"/>
            </a:solidFill>
            <a:ln w="9360">
              <a:solidFill>
                <a:srgbClr val="2ec4c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Dashboard!$H$12:$H$15</c:f>
              <c:strCache>
                <c:ptCount val="4"/>
                <c:pt idx="0">
                  <c:v>P · Planear</c:v>
                </c:pt>
                <c:pt idx="1">
                  <c:v>H · Hacer</c:v>
                </c:pt>
                <c:pt idx="2">
                  <c:v>V · Verificar</c:v>
                </c:pt>
                <c:pt idx="3">
                  <c:v>A · Actuar</c:v>
                </c:pt>
              </c:strCache>
            </c:strRef>
          </c:cat>
          <c:val>
            <c:numRef>
              <c:f>Dashboard!$K$12:$K$15</c:f>
              <c:numCache>
                <c:formatCode>0%</c:formatCode>
                <c:ptCount val="4"/>
                <c:pt idx="0">
                  <c:v>1</c:v>
                </c:pt>
                <c:pt idx="1">
                  <c:v>0.891304347826087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37694170"/>
        <c:axId val="17501150"/>
      </c:barChart>
      <c:catAx>
        <c:axId val="37694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01150"/>
        <c:crosses val="autoZero"/>
        <c:auto val="1"/>
        <c:lblAlgn val="ctr"/>
        <c:lblOffset val="100"/>
        <c:noMultiLvlLbl val="0"/>
      </c:catAx>
      <c:valAx>
        <c:axId val="1750115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941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Presupuesto por componente Res. 0312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Dashboard!L18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Dashboard!$H$19:$H$25</c:f>
              <c:strCache>
                <c:ptCount val="7"/>
                <c:pt idx="0">
                  <c:v>Recursos</c:v>
                </c:pt>
                <c:pt idx="1">
                  <c:v>Gestión integral del SG-SST</c:v>
                </c:pt>
                <c:pt idx="2">
                  <c:v>Gestión de la salud</c:v>
                </c:pt>
                <c:pt idx="3">
                  <c:v>Gestión de peligros y riesgos</c:v>
                </c:pt>
                <c:pt idx="4">
                  <c:v>Gestión de amenazas</c:v>
                </c:pt>
                <c:pt idx="5">
                  <c:v>Verificación del SG-SST</c:v>
                </c:pt>
                <c:pt idx="6">
                  <c:v>Mejoramiento</c:v>
                </c:pt>
              </c:strCache>
            </c:strRef>
          </c:cat>
          <c:val>
            <c:numRef>
              <c:f>Dashboard!$L$19:$L$25</c:f>
              <c:numCache>
                <c:formatCode>\$#,##0</c:formatCode>
                <c:ptCount val="7"/>
                <c:pt idx="0">
                  <c:v>4500000</c:v>
                </c:pt>
                <c:pt idx="1">
                  <c:v>0</c:v>
                </c:pt>
                <c:pt idx="2">
                  <c:v>6800000</c:v>
                </c:pt>
                <c:pt idx="3">
                  <c:v>9700000</c:v>
                </c:pt>
                <c:pt idx="4">
                  <c:v>2100000</c:v>
                </c:pt>
                <c:pt idx="5">
                  <c:v>1000000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Cumplimiento por programa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Dashboard!G27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1b5fc1"/>
            </a:solidFill>
            <a:ln w="9360">
              <a:solidFill>
                <a:srgbClr val="1b5fc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Dashboard!$B$28:$B$47</c:f>
              <c:strCache>
                <c:ptCount val="20"/>
                <c:pt idx="0">
                  <c:v>Gestión del sistema</c:v>
                </c:pt>
                <c:pt idx="1">
                  <c:v>Requisitos legales</c:v>
                </c:pt>
                <c:pt idx="2">
                  <c:v>Identificación de peligros</c:v>
                </c:pt>
                <c:pt idx="3">
                  <c:v>Capacitación</c:v>
                </c:pt>
                <c:pt idx="4">
                  <c:v>Comités</c:v>
                </c:pt>
                <c:pt idx="5">
                  <c:v>Medicina del trabajo</c:v>
                </c:pt>
                <c:pt idx="6">
                  <c:v>Vigilancia epidemiológica</c:v>
                </c:pt>
                <c:pt idx="7">
                  <c:v>Riesgo psicosocial</c:v>
                </c:pt>
                <c:pt idx="8">
                  <c:v>Inspecciones</c:v>
                </c:pt>
                <c:pt idx="9">
                  <c:v>Elementos de protección personal</c:v>
                </c:pt>
                <c:pt idx="10">
                  <c:v>Emergencias</c:v>
                </c:pt>
                <c:pt idx="11">
                  <c:v>Tareas de alto riesgo</c:v>
                </c:pt>
                <c:pt idx="12">
                  <c:v>Contratistas</c:v>
                </c:pt>
                <c:pt idx="13">
                  <c:v>Gestión del cambio</c:v>
                </c:pt>
                <c:pt idx="14">
                  <c:v>Accidentalidad</c:v>
                </c:pt>
                <c:pt idx="15">
                  <c:v>Indicadores</c:v>
                </c:pt>
                <c:pt idx="16">
                  <c:v>Auditoría</c:v>
                </c:pt>
                <c:pt idx="17">
                  <c:v>Revisión por la dirección</c:v>
                </c:pt>
                <c:pt idx="18">
                  <c:v>Mejora continua</c:v>
                </c:pt>
                <c:pt idx="19">
                  <c:v>Seguridad vial</c:v>
                </c:pt>
              </c:strCache>
            </c:strRef>
          </c:cat>
          <c:val>
            <c:numRef>
              <c:f>Dashboard!$G$28:$G$47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0.666666666666667</c:v>
                </c:pt>
                <c:pt idx="4">
                  <c:v>0.875</c:v>
                </c:pt>
                <c:pt idx="5">
                  <c:v>1</c:v>
                </c:pt>
                <c:pt idx="6">
                  <c:v>0.666666666666667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0.833333333333333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8">
                  <c:v>1</c:v>
                </c:pt>
                <c:pt idx="19">
                  <c:v>0.833333333333333</c:v>
                </c:pt>
              </c:numCache>
            </c:numRef>
          </c:val>
        </c:ser>
        <c:gapWidth val="150"/>
        <c:overlap val="0"/>
        <c:axId val="81939047"/>
        <c:axId val="27013631"/>
      </c:barChart>
      <c:catAx>
        <c:axId val="8193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13631"/>
        <c:crosses val="autoZero"/>
        <c:auto val="1"/>
        <c:lblAlgn val="ctr"/>
        <c:lblOffset val="100"/>
        <c:noMultiLvlLbl val="0"/>
      </c:catAx>
      <c:valAx>
        <c:axId val="27013631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390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1150560</xdr:colOff>
      <xdr:row>1</xdr:row>
      <xdr:rowOff>390240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7143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1432440</xdr:colOff>
      <xdr:row>1</xdr:row>
      <xdr:rowOff>390240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7143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798120</xdr:colOff>
      <xdr:row>1</xdr:row>
      <xdr:rowOff>390240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17143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5</xdr:row>
      <xdr:rowOff>0</xdr:rowOff>
    </xdr:from>
    <xdr:to>
      <xdr:col>22</xdr:col>
      <xdr:colOff>256320</xdr:colOff>
      <xdr:row>17</xdr:row>
      <xdr:rowOff>34560</xdr:rowOff>
    </xdr:to>
    <xdr:graphicFrame>
      <xdr:nvGraphicFramePr>
        <xdr:cNvPr id="3" name="Chart 1"/>
        <xdr:cNvGraphicFramePr/>
      </xdr:nvGraphicFramePr>
      <xdr:xfrm>
        <a:off x="11277720" y="14479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97200</xdr:rowOff>
    </xdr:from>
    <xdr:to>
      <xdr:col>22</xdr:col>
      <xdr:colOff>256320</xdr:colOff>
      <xdr:row>34</xdr:row>
      <xdr:rowOff>129600</xdr:rowOff>
    </xdr:to>
    <xdr:graphicFrame>
      <xdr:nvGraphicFramePr>
        <xdr:cNvPr id="4" name="Chart 2"/>
        <xdr:cNvGraphicFramePr/>
      </xdr:nvGraphicFramePr>
      <xdr:xfrm>
        <a:off x="11277720" y="47815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5</xdr:row>
      <xdr:rowOff>0</xdr:rowOff>
    </xdr:from>
    <xdr:to>
      <xdr:col>30</xdr:col>
      <xdr:colOff>399240</xdr:colOff>
      <xdr:row>17</xdr:row>
      <xdr:rowOff>34560</xdr:rowOff>
    </xdr:to>
    <xdr:graphicFrame>
      <xdr:nvGraphicFramePr>
        <xdr:cNvPr id="5" name="Chart 3"/>
        <xdr:cNvGraphicFramePr/>
      </xdr:nvGraphicFramePr>
      <xdr:xfrm>
        <a:off x="17392680" y="14479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0</xdr:colOff>
      <xdr:row>20</xdr:row>
      <xdr:rowOff>97200</xdr:rowOff>
    </xdr:from>
    <xdr:to>
      <xdr:col>30</xdr:col>
      <xdr:colOff>399240</xdr:colOff>
      <xdr:row>34</xdr:row>
      <xdr:rowOff>129600</xdr:rowOff>
    </xdr:to>
    <xdr:graphicFrame>
      <xdr:nvGraphicFramePr>
        <xdr:cNvPr id="6" name="Chart 4"/>
        <xdr:cNvGraphicFramePr/>
      </xdr:nvGraphicFramePr>
      <xdr:xfrm>
        <a:off x="17392680" y="47815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36</xdr:row>
      <xdr:rowOff>97200</xdr:rowOff>
    </xdr:from>
    <xdr:to>
      <xdr:col>30</xdr:col>
      <xdr:colOff>44280</xdr:colOff>
      <xdr:row>62</xdr:row>
      <xdr:rowOff>183960</xdr:rowOff>
    </xdr:to>
    <xdr:graphicFrame>
      <xdr:nvGraphicFramePr>
        <xdr:cNvPr id="7" name="Chart 5"/>
        <xdr:cNvGraphicFramePr/>
      </xdr:nvGraphicFramePr>
      <xdr:xfrm>
        <a:off x="11277720" y="7829640"/>
        <a:ext cx="104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1503000</xdr:colOff>
      <xdr:row>1</xdr:row>
      <xdr:rowOff>390240</xdr:rowOff>
    </xdr:to>
    <xdr:pic>
      <xdr:nvPicPr>
        <xdr:cNvPr id="8" name="Image 6" descr="Picture"/>
        <xdr:cNvPicPr/>
      </xdr:nvPicPr>
      <xdr:blipFill>
        <a:blip r:embed="rId6"/>
        <a:stretch/>
      </xdr:blipFill>
      <xdr:spPr>
        <a:xfrm>
          <a:off x="0" y="0"/>
          <a:ext cx="17143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1714320</xdr:colOff>
      <xdr:row>1</xdr:row>
      <xdr:rowOff>390240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0"/>
          <a:ext cx="17143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1432440</xdr:colOff>
      <xdr:row>1</xdr:row>
      <xdr:rowOff>390240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0"/>
          <a:ext cx="17143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FC1"/>
    <pageSetUpPr fitToPage="tru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9" min="3" style="0" width="19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2" t="s">
        <v>0</v>
      </c>
    </row>
    <row r="2" customFormat="false" ht="33.75" hidden="false" customHeight="true" outlineLevel="0" collapsed="false">
      <c r="A2" s="1"/>
      <c r="B2" s="1"/>
      <c r="C2" s="3" t="s">
        <v>1</v>
      </c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1"/>
      <c r="B3" s="1"/>
      <c r="C3" s="4" t="s">
        <v>2</v>
      </c>
      <c r="D3" s="1"/>
      <c r="E3" s="1"/>
      <c r="F3" s="1"/>
      <c r="G3" s="1"/>
      <c r="H3" s="1"/>
      <c r="I3" s="5" t="s">
        <v>3</v>
      </c>
    </row>
    <row r="4" customFormat="false" ht="21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</row>
    <row r="6" customFormat="false" ht="18" hidden="false" customHeight="true" outlineLevel="0" collapsed="false">
      <c r="C6" s="6" t="s">
        <v>4</v>
      </c>
      <c r="D6" s="6"/>
      <c r="E6" s="6"/>
      <c r="F6" s="6"/>
      <c r="G6" s="6"/>
      <c r="H6" s="6"/>
      <c r="I6" s="6"/>
    </row>
    <row r="7" customFormat="false" ht="42" hidden="false" customHeight="true" outlineLevel="0" collapsed="false">
      <c r="C7" s="7" t="s">
        <v>5</v>
      </c>
      <c r="D7" s="7"/>
      <c r="E7" s="7"/>
      <c r="F7" s="7"/>
      <c r="G7" s="7"/>
      <c r="H7" s="7"/>
      <c r="I7" s="7"/>
    </row>
    <row r="8" customFormat="false" ht="27.75" hidden="false" customHeight="true" outlineLevel="0" collapsed="false">
      <c r="C8" s="7" t="s">
        <v>6</v>
      </c>
      <c r="D8" s="7"/>
      <c r="E8" s="7"/>
      <c r="F8" s="7"/>
      <c r="G8" s="7"/>
      <c r="H8" s="7"/>
      <c r="I8" s="7"/>
    </row>
    <row r="9" customFormat="false" ht="27.75" hidden="false" customHeight="true" outlineLevel="0" collapsed="false">
      <c r="C9" s="7" t="s">
        <v>7</v>
      </c>
      <c r="D9" s="7"/>
      <c r="E9" s="7"/>
      <c r="F9" s="7"/>
      <c r="G9" s="7"/>
      <c r="H9" s="7"/>
      <c r="I9" s="7"/>
    </row>
    <row r="11" customFormat="false" ht="18" hidden="false" customHeight="true" outlineLevel="0" collapsed="false">
      <c r="C11" s="6" t="s">
        <v>8</v>
      </c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C12" s="7" t="s">
        <v>9</v>
      </c>
      <c r="D12" s="7"/>
      <c r="E12" s="7"/>
      <c r="F12" s="7"/>
      <c r="G12" s="7"/>
      <c r="H12" s="7"/>
      <c r="I12" s="7"/>
    </row>
    <row r="13" customFormat="false" ht="27.75" hidden="false" customHeight="true" outlineLevel="0" collapsed="false">
      <c r="C13" s="7" t="s">
        <v>10</v>
      </c>
      <c r="D13" s="7"/>
      <c r="E13" s="7"/>
      <c r="F13" s="7"/>
      <c r="G13" s="7"/>
      <c r="H13" s="7"/>
      <c r="I13" s="7"/>
    </row>
    <row r="14" customFormat="false" ht="27.75" hidden="false" customHeight="true" outlineLevel="0" collapsed="false">
      <c r="C14" s="7" t="s">
        <v>11</v>
      </c>
      <c r="D14" s="7"/>
      <c r="E14" s="7"/>
      <c r="F14" s="7"/>
      <c r="G14" s="7"/>
      <c r="H14" s="7"/>
      <c r="I14" s="7"/>
    </row>
    <row r="15" customFormat="false" ht="18" hidden="false" customHeight="true" outlineLevel="0" collapsed="false">
      <c r="C15" s="7" t="s">
        <v>12</v>
      </c>
      <c r="D15" s="7"/>
      <c r="E15" s="7"/>
      <c r="F15" s="7"/>
      <c r="G15" s="7"/>
      <c r="H15" s="7"/>
      <c r="I15" s="7"/>
    </row>
    <row r="16" customFormat="false" ht="18" hidden="false" customHeight="true" outlineLevel="0" collapsed="false">
      <c r="C16" s="7" t="s">
        <v>13</v>
      </c>
      <c r="D16" s="7"/>
      <c r="E16" s="7"/>
      <c r="F16" s="7"/>
      <c r="G16" s="7"/>
      <c r="H16" s="7"/>
      <c r="I16" s="7"/>
    </row>
    <row r="18" customFormat="false" ht="18" hidden="false" customHeight="true" outlineLevel="0" collapsed="false">
      <c r="C18" s="6" t="s">
        <v>14</v>
      </c>
      <c r="D18" s="6"/>
      <c r="E18" s="6"/>
      <c r="F18" s="6"/>
      <c r="G18" s="6"/>
      <c r="H18" s="6"/>
      <c r="I18" s="6"/>
    </row>
    <row r="19" customFormat="false" ht="27.75" hidden="false" customHeight="true" outlineLevel="0" collapsed="false">
      <c r="C19" s="7" t="s">
        <v>15</v>
      </c>
      <c r="D19" s="7"/>
      <c r="E19" s="7"/>
      <c r="F19" s="7"/>
      <c r="G19" s="7"/>
      <c r="H19" s="7"/>
      <c r="I19" s="7"/>
    </row>
    <row r="20" customFormat="false" ht="27.75" hidden="false" customHeight="true" outlineLevel="0" collapsed="false">
      <c r="C20" s="7" t="s">
        <v>16</v>
      </c>
      <c r="D20" s="7"/>
      <c r="E20" s="7"/>
      <c r="F20" s="7"/>
      <c r="G20" s="7"/>
      <c r="H20" s="7"/>
      <c r="I20" s="7"/>
    </row>
    <row r="21" customFormat="false" ht="27.75" hidden="false" customHeight="true" outlineLevel="0" collapsed="false">
      <c r="C21" s="7" t="s">
        <v>17</v>
      </c>
      <c r="D21" s="7"/>
      <c r="E21" s="7"/>
      <c r="F21" s="7"/>
      <c r="G21" s="7"/>
      <c r="H21" s="7"/>
      <c r="I21" s="7"/>
    </row>
    <row r="22" customFormat="false" ht="27.75" hidden="false" customHeight="true" outlineLevel="0" collapsed="false">
      <c r="C22" s="7" t="s">
        <v>18</v>
      </c>
      <c r="D22" s="7"/>
      <c r="E22" s="7"/>
      <c r="F22" s="7"/>
      <c r="G22" s="7"/>
      <c r="H22" s="7"/>
      <c r="I22" s="7"/>
    </row>
    <row r="23" customFormat="false" ht="18" hidden="false" customHeight="true" outlineLevel="0" collapsed="false">
      <c r="C23" s="7" t="s">
        <v>19</v>
      </c>
      <c r="D23" s="7"/>
      <c r="E23" s="7"/>
      <c r="F23" s="7"/>
      <c r="G23" s="7"/>
      <c r="H23" s="7"/>
      <c r="I23" s="7"/>
    </row>
    <row r="25" customFormat="false" ht="18" hidden="false" customHeight="true" outlineLevel="0" collapsed="false">
      <c r="C25" s="6" t="s">
        <v>20</v>
      </c>
      <c r="D25" s="6"/>
      <c r="E25" s="6"/>
      <c r="F25" s="6"/>
      <c r="G25" s="6"/>
      <c r="H25" s="6"/>
      <c r="I25" s="6"/>
    </row>
    <row r="26" customFormat="false" ht="27.75" hidden="false" customHeight="true" outlineLevel="0" collapsed="false">
      <c r="C26" s="7" t="s">
        <v>21</v>
      </c>
      <c r="D26" s="7"/>
      <c r="E26" s="7"/>
      <c r="F26" s="7"/>
      <c r="G26" s="7"/>
      <c r="H26" s="7"/>
      <c r="I26" s="7"/>
    </row>
    <row r="28" customFormat="false" ht="18" hidden="false" customHeight="true" outlineLevel="0" collapsed="false">
      <c r="C28" s="8" t="s">
        <v>22</v>
      </c>
      <c r="D28" s="8"/>
      <c r="E28" s="8"/>
      <c r="F28" s="8"/>
      <c r="G28" s="8"/>
      <c r="H28" s="8"/>
      <c r="I28" s="8"/>
    </row>
    <row r="29" customFormat="false" ht="18" hidden="false" customHeight="true" outlineLevel="0" collapsed="false">
      <c r="C29" s="7" t="s">
        <v>23</v>
      </c>
      <c r="D29" s="7"/>
      <c r="E29" s="7"/>
      <c r="F29" s="7"/>
      <c r="G29" s="7"/>
      <c r="H29" s="7"/>
      <c r="I29" s="7"/>
    </row>
    <row r="30" customFormat="false" ht="18" hidden="false" customHeight="true" outlineLevel="0" collapsed="false">
      <c r="C30" s="7" t="s">
        <v>24</v>
      </c>
      <c r="D30" s="7"/>
      <c r="E30" s="7"/>
      <c r="F30" s="7"/>
      <c r="G30" s="7"/>
      <c r="H30" s="7"/>
      <c r="I30" s="7"/>
    </row>
    <row r="31" customFormat="false" ht="18" hidden="false" customHeight="true" outlineLevel="0" collapsed="false">
      <c r="C31" s="7" t="s">
        <v>25</v>
      </c>
      <c r="D31" s="7"/>
      <c r="E31" s="7"/>
      <c r="F31" s="7"/>
      <c r="G31" s="7"/>
      <c r="H31" s="7"/>
      <c r="I31" s="7"/>
    </row>
    <row r="32" customFormat="false" ht="18" hidden="false" customHeight="true" outlineLevel="0" collapsed="false">
      <c r="C32" s="7" t="s">
        <v>26</v>
      </c>
      <c r="D32" s="7"/>
      <c r="E32" s="7"/>
      <c r="F32" s="7"/>
      <c r="G32" s="7"/>
      <c r="H32" s="7"/>
      <c r="I32" s="7"/>
    </row>
    <row r="33" customFormat="false" ht="18" hidden="false" customHeight="true" outlineLevel="0" collapsed="false">
      <c r="C33" s="7" t="s">
        <v>27</v>
      </c>
      <c r="D33" s="7"/>
      <c r="E33" s="7"/>
      <c r="F33" s="7"/>
      <c r="G33" s="7"/>
      <c r="H33" s="7"/>
      <c r="I33" s="7"/>
    </row>
    <row r="35" customFormat="false" ht="27.75" hidden="false" customHeight="true" outlineLevel="0" collapsed="false">
      <c r="C35" s="9" t="s">
        <v>28</v>
      </c>
      <c r="D35" s="9"/>
      <c r="E35" s="9"/>
      <c r="F35" s="9"/>
      <c r="G35" s="9"/>
      <c r="H35" s="9"/>
      <c r="I35" s="9"/>
    </row>
    <row r="36" customFormat="false" ht="27.75" hidden="false" customHeight="true" outlineLevel="0" collapsed="false">
      <c r="C36" s="10" t="s">
        <v>29</v>
      </c>
      <c r="D36" s="10"/>
      <c r="E36" s="10"/>
      <c r="F36" s="10"/>
      <c r="G36" s="10"/>
      <c r="H36" s="10"/>
      <c r="I36" s="10"/>
    </row>
    <row r="38" customFormat="false" ht="25.5" hidden="false" customHeight="true" outlineLevel="0" collapsed="false">
      <c r="C38" s="11" t="s">
        <v>30</v>
      </c>
      <c r="D38" s="11"/>
      <c r="E38" s="11"/>
      <c r="F38" s="11"/>
      <c r="G38" s="11"/>
      <c r="H38" s="11"/>
      <c r="I38" s="11"/>
    </row>
  </sheetData>
  <mergeCells count="27">
    <mergeCell ref="C6:I6"/>
    <mergeCell ref="C7:I7"/>
    <mergeCell ref="C8:I8"/>
    <mergeCell ref="C9:I9"/>
    <mergeCell ref="C11:I11"/>
    <mergeCell ref="C12:I12"/>
    <mergeCell ref="C13:I13"/>
    <mergeCell ref="C14:I14"/>
    <mergeCell ref="C15:I15"/>
    <mergeCell ref="C16:I16"/>
    <mergeCell ref="C18:I18"/>
    <mergeCell ref="C19:I19"/>
    <mergeCell ref="C20:I20"/>
    <mergeCell ref="C21:I21"/>
    <mergeCell ref="C22:I22"/>
    <mergeCell ref="C23:I23"/>
    <mergeCell ref="C25:I25"/>
    <mergeCell ref="C26:I26"/>
    <mergeCell ref="C28:I28"/>
    <mergeCell ref="C29:I29"/>
    <mergeCell ref="C30:I30"/>
    <mergeCell ref="C31:I31"/>
    <mergeCell ref="C32:I32"/>
    <mergeCell ref="C33:I33"/>
    <mergeCell ref="C35:I35"/>
    <mergeCell ref="C36:I36"/>
    <mergeCell ref="C38:I3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&amp;CASEGURA SIG · WhatsApp 302 337 9738 · asegurasig.2026@asegurasig.com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4CE"/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58"/>
  </cols>
  <sheetData>
    <row r="1" customFormat="false" ht="21.75" hidden="false" customHeight="true" outlineLevel="0" collapsed="false">
      <c r="A1" s="1"/>
      <c r="B1" s="1"/>
      <c r="C1" s="1"/>
      <c r="D1" s="2" t="s">
        <v>0</v>
      </c>
    </row>
    <row r="2" customFormat="false" ht="33.75" hidden="false" customHeight="true" outlineLevel="0" collapsed="false">
      <c r="A2" s="1"/>
      <c r="B2" s="1"/>
      <c r="C2" s="3" t="s">
        <v>31</v>
      </c>
      <c r="D2" s="1"/>
    </row>
    <row r="3" customFormat="false" ht="21.75" hidden="false" customHeight="true" outlineLevel="0" collapsed="false">
      <c r="A3" s="1"/>
      <c r="B3" s="1"/>
      <c r="C3" s="4" t="s">
        <v>32</v>
      </c>
      <c r="D3" s="5" t="s">
        <v>3</v>
      </c>
    </row>
    <row r="4" customFormat="false" ht="21.75" hidden="false" customHeight="true" outlineLevel="0" collapsed="false">
      <c r="A4" s="1"/>
      <c r="B4" s="1"/>
      <c r="C4" s="1"/>
      <c r="D4" s="1"/>
    </row>
    <row r="6" customFormat="false" ht="24" hidden="false" customHeight="true" outlineLevel="0" collapsed="false">
      <c r="B6" s="12" t="s">
        <v>33</v>
      </c>
      <c r="C6" s="13" t="s">
        <v>34</v>
      </c>
    </row>
    <row r="7" customFormat="false" ht="24" hidden="false" customHeight="true" outlineLevel="0" collapsed="false">
      <c r="B7" s="12" t="s">
        <v>35</v>
      </c>
      <c r="C7" s="13" t="s">
        <v>36</v>
      </c>
    </row>
    <row r="8" customFormat="false" ht="24" hidden="false" customHeight="true" outlineLevel="0" collapsed="false">
      <c r="B8" s="12" t="s">
        <v>37</v>
      </c>
      <c r="C8" s="13" t="s">
        <v>38</v>
      </c>
    </row>
    <row r="9" customFormat="false" ht="24" hidden="false" customHeight="true" outlineLevel="0" collapsed="false">
      <c r="B9" s="12" t="s">
        <v>39</v>
      </c>
      <c r="C9" s="13" t="s">
        <v>40</v>
      </c>
      <c r="D9" s="14" t="s">
        <v>41</v>
      </c>
    </row>
    <row r="10" customFormat="false" ht="24" hidden="false" customHeight="true" outlineLevel="0" collapsed="false">
      <c r="B10" s="12" t="s">
        <v>42</v>
      </c>
      <c r="C10" s="13" t="n">
        <v>45</v>
      </c>
    </row>
    <row r="11" customFormat="false" ht="24" hidden="false" customHeight="true" outlineLevel="0" collapsed="false">
      <c r="B11" s="12" t="s">
        <v>43</v>
      </c>
      <c r="C11" s="13"/>
    </row>
    <row r="12" customFormat="false" ht="24" hidden="false" customHeight="true" outlineLevel="0" collapsed="false">
      <c r="B12" s="12" t="s">
        <v>44</v>
      </c>
      <c r="C12" s="13"/>
    </row>
    <row r="13" customFormat="false" ht="24" hidden="false" customHeight="true" outlineLevel="0" collapsed="false">
      <c r="B13" s="12" t="s">
        <v>45</v>
      </c>
      <c r="C13" s="13" t="n">
        <v>2027</v>
      </c>
      <c r="D13" s="14" t="s">
        <v>46</v>
      </c>
    </row>
    <row r="14" customFormat="false" ht="24" hidden="false" customHeight="true" outlineLevel="0" collapsed="false">
      <c r="B14" s="12" t="s">
        <v>47</v>
      </c>
      <c r="C14" s="13" t="n">
        <v>6</v>
      </c>
      <c r="D14" s="14" t="s">
        <v>48</v>
      </c>
    </row>
    <row r="15" customFormat="false" ht="24" hidden="false" customHeight="true" outlineLevel="0" collapsed="false">
      <c r="B15" s="12" t="s">
        <v>49</v>
      </c>
      <c r="C15" s="15" t="n">
        <v>0.9</v>
      </c>
      <c r="D15" s="14" t="s">
        <v>50</v>
      </c>
    </row>
    <row r="16" customFormat="false" ht="24" hidden="false" customHeight="true" outlineLevel="0" collapsed="false">
      <c r="B16" s="12" t="s">
        <v>51</v>
      </c>
      <c r="C16" s="15" t="n">
        <v>0.9</v>
      </c>
      <c r="D16" s="14" t="s">
        <v>52</v>
      </c>
    </row>
    <row r="17" customFormat="false" ht="24" hidden="false" customHeight="true" outlineLevel="0" collapsed="false">
      <c r="B17" s="12" t="s">
        <v>53</v>
      </c>
      <c r="C17" s="15" t="n">
        <v>0.7</v>
      </c>
      <c r="D17" s="14" t="s">
        <v>54</v>
      </c>
    </row>
  </sheetData>
  <dataValidations count="2">
    <dataValidation allowBlank="false" errorStyle="stop" operator="between" showDropDown="false" showErrorMessage="false" showInputMessage="false" sqref="C9" type="list">
      <formula1>"I,II,III,IV,V"</formula1>
      <formula2>0</formula2>
    </dataValidation>
    <dataValidation allowBlank="false" errorStyle="stop" operator="between" showDropDown="false" showErrorMessage="false" showInputMessage="false" sqref="C1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&amp;CASEGURA SIG · WhatsApp 302 337 9738 · asegurasig.2026@asegurasig.com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C28"/>
    <pageSetUpPr fitToPage="true"/>
  </sheetPr>
  <dimension ref="A1:A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20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23" min="12" style="0" width="5"/>
    <col collapsed="false" customWidth="true" hidden="false" outlineLevel="0" max="24" min="24" style="0" width="8"/>
    <col collapsed="false" customWidth="true" hidden="false" outlineLevel="0" max="27" min="25" style="0" width="9"/>
    <col collapsed="false" customWidth="true" hidden="false" outlineLevel="0" max="29" min="28" style="0" width="13"/>
    <col collapsed="false" customWidth="true" hidden="false" outlineLevel="0" max="30" min="30" style="0" width="26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 t="s">
        <v>0</v>
      </c>
    </row>
    <row r="2" customFormat="false" ht="33.75" hidden="false" customHeight="true" outlineLevel="0" collapsed="false">
      <c r="A2" s="1"/>
      <c r="B2" s="1"/>
      <c r="C2" s="1"/>
      <c r="D2" s="3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21.75" hidden="false" customHeight="true" outlineLevel="0" collapsed="false">
      <c r="A3" s="1"/>
      <c r="B3" s="1"/>
      <c r="C3" s="1"/>
      <c r="D3" s="4" t="s">
        <v>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5" t="s">
        <v>3</v>
      </c>
    </row>
    <row r="4" customFormat="false" ht="21.75" hidden="false" customHeight="true" outlineLevel="0" collapsed="false">
      <c r="A4" s="1"/>
      <c r="B4" s="1"/>
      <c r="C4" s="1"/>
      <c r="D4" s="16" t="str">
        <f aca="false">CONCATENATE("Año ",Datos!$C$13,"  ·  ",Datos!$C$6,"  ·  Corte: mes ",Datos!$C$14)</f>
        <v>Año 2027  ·  Empresa Ejemplo S.A.S. (caso hipotético)  ·  Corte: mes 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true" outlineLevel="0" collapsed="false">
      <c r="A5" s="17" t="s">
        <v>56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 t="s">
        <v>57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s">
        <v>58</v>
      </c>
      <c r="Y5" s="17"/>
      <c r="Z5" s="17"/>
      <c r="AA5" s="17"/>
      <c r="AB5" s="17"/>
      <c r="AC5" s="17"/>
      <c r="AD5" s="17"/>
    </row>
    <row r="6" customFormat="false" ht="39.75" hidden="false" customHeight="true" outlineLevel="0" collapsed="false">
      <c r="A6" s="18" t="s">
        <v>59</v>
      </c>
      <c r="B6" s="18" t="s">
        <v>60</v>
      </c>
      <c r="C6" s="18" t="s">
        <v>61</v>
      </c>
      <c r="D6" s="18" t="s">
        <v>62</v>
      </c>
      <c r="E6" s="18" t="s">
        <v>63</v>
      </c>
      <c r="F6" s="18" t="s">
        <v>64</v>
      </c>
      <c r="G6" s="18" t="s">
        <v>65</v>
      </c>
      <c r="H6" s="18" t="s">
        <v>66</v>
      </c>
      <c r="I6" s="18" t="s">
        <v>67</v>
      </c>
      <c r="J6" s="18" t="s">
        <v>68</v>
      </c>
      <c r="K6" s="18" t="s">
        <v>69</v>
      </c>
      <c r="L6" s="19" t="s">
        <v>70</v>
      </c>
      <c r="M6" s="19" t="s">
        <v>71</v>
      </c>
      <c r="N6" s="19" t="s">
        <v>72</v>
      </c>
      <c r="O6" s="19" t="s">
        <v>73</v>
      </c>
      <c r="P6" s="19" t="s">
        <v>74</v>
      </c>
      <c r="Q6" s="19" t="s">
        <v>75</v>
      </c>
      <c r="R6" s="19" t="s">
        <v>76</v>
      </c>
      <c r="S6" s="19" t="s">
        <v>77</v>
      </c>
      <c r="T6" s="19" t="s">
        <v>78</v>
      </c>
      <c r="U6" s="19" t="s">
        <v>79</v>
      </c>
      <c r="V6" s="19" t="s">
        <v>80</v>
      </c>
      <c r="W6" s="19" t="s">
        <v>81</v>
      </c>
      <c r="X6" s="20" t="s">
        <v>82</v>
      </c>
      <c r="Y6" s="20" t="s">
        <v>83</v>
      </c>
      <c r="Z6" s="20" t="s">
        <v>84</v>
      </c>
      <c r="AA6" s="20" t="s">
        <v>85</v>
      </c>
      <c r="AB6" s="20" t="s">
        <v>86</v>
      </c>
      <c r="AC6" s="20" t="s">
        <v>87</v>
      </c>
      <c r="AD6" s="20" t="s">
        <v>88</v>
      </c>
    </row>
    <row r="7" customFormat="false" ht="31.5" hidden="false" customHeight="true" outlineLevel="0" collapsed="false">
      <c r="A7" s="21" t="n">
        <v>1</v>
      </c>
      <c r="B7" s="22" t="s">
        <v>89</v>
      </c>
      <c r="C7" s="23" t="s">
        <v>90</v>
      </c>
      <c r="D7" s="23" t="s">
        <v>91</v>
      </c>
      <c r="E7" s="23" t="s">
        <v>92</v>
      </c>
      <c r="F7" s="23" t="s">
        <v>93</v>
      </c>
      <c r="G7" s="23" t="s">
        <v>94</v>
      </c>
      <c r="H7" s="22" t="s">
        <v>95</v>
      </c>
      <c r="I7" s="24" t="n">
        <v>0</v>
      </c>
      <c r="J7" s="22" t="s">
        <v>96</v>
      </c>
      <c r="K7" s="23" t="s">
        <v>97</v>
      </c>
      <c r="L7" s="25" t="s">
        <v>98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6" t="n">
        <f aca="false">COUNTIF($L7:$W7,"P")+COUNTIF($L7:$W7,"E")+COUNTIF($L7:$W7,"N")</f>
        <v>1</v>
      </c>
      <c r="Y7" s="26" t="n">
        <f aca="false">SUMPRODUCT((COLUMN($L7:$W7)-COLUMN($L7)+1&lt;=Datos!$C$14)*(($L7:$W7="P")+($L7:$W7="E")+($L7:$W7="N")))</f>
        <v>1</v>
      </c>
      <c r="Z7" s="26" t="n">
        <f aca="false">SUMPRODUCT((COLUMN($L7:$W7)-COLUMN($L7)+1&lt;=Datos!$C$14)*($L7:$W7="E"))</f>
        <v>1</v>
      </c>
      <c r="AA7" s="27" t="n">
        <f aca="false">IF(Y7=0,"",Z7/Y7)</f>
        <v>1</v>
      </c>
      <c r="AB7" s="28" t="str">
        <f aca="false">IF(Y7=0,"",IF(AA7&gt;=Datos!$C$16,"🟢 Óptimo",IF(AA7&gt;=Datos!$C$17,"🟡 Aceptable","🔴 Crítico")))</f>
        <v>🟢 Óptimo</v>
      </c>
      <c r="AC7" s="28" t="str">
        <f aca="false">IF(X7=0,"",IF(COUNTIF($L7:$W7,"E")=X7,"✅ Cumplida",IF(Y7=0,"⏳ Por iniciar",IF(Z7&lt;Y7,"⚠️ Atrasada","▶️ Al día"))))</f>
        <v>✅ Cumplida</v>
      </c>
      <c r="AD7" s="29"/>
    </row>
    <row r="8" customFormat="false" ht="31.5" hidden="false" customHeight="true" outlineLevel="0" collapsed="false">
      <c r="A8" s="21" t="n">
        <v>2</v>
      </c>
      <c r="B8" s="22" t="s">
        <v>89</v>
      </c>
      <c r="C8" s="23" t="s">
        <v>90</v>
      </c>
      <c r="D8" s="23" t="s">
        <v>91</v>
      </c>
      <c r="E8" s="23" t="s">
        <v>99</v>
      </c>
      <c r="F8" s="23" t="s">
        <v>100</v>
      </c>
      <c r="G8" s="23" t="s">
        <v>101</v>
      </c>
      <c r="H8" s="22" t="s">
        <v>95</v>
      </c>
      <c r="I8" s="24" t="n">
        <v>0</v>
      </c>
      <c r="J8" s="22" t="s">
        <v>96</v>
      </c>
      <c r="K8" s="23" t="s">
        <v>102</v>
      </c>
      <c r="L8" s="25" t="s">
        <v>98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 t="n">
        <f aca="false">COUNTIF($L8:$W8,"P")+COUNTIF($L8:$W8,"E")+COUNTIF($L8:$W8,"N")</f>
        <v>1</v>
      </c>
      <c r="Y8" s="26" t="n">
        <f aca="false">SUMPRODUCT((COLUMN($L8:$W8)-COLUMN($L8)+1&lt;=Datos!$C$14)*(($L8:$W8="P")+($L8:$W8="E")+($L8:$W8="N")))</f>
        <v>1</v>
      </c>
      <c r="Z8" s="26" t="n">
        <f aca="false">SUMPRODUCT((COLUMN($L8:$W8)-COLUMN($L8)+1&lt;=Datos!$C$14)*($L8:$W8="E"))</f>
        <v>1</v>
      </c>
      <c r="AA8" s="27" t="n">
        <f aca="false">IF(Y8=0,"",Z8/Y8)</f>
        <v>1</v>
      </c>
      <c r="AB8" s="28" t="str">
        <f aca="false">IF(Y8=0,"",IF(AA8&gt;=Datos!$C$16,"🟢 Óptimo",IF(AA8&gt;=Datos!$C$17,"🟡 Aceptable","🔴 Crítico")))</f>
        <v>🟢 Óptimo</v>
      </c>
      <c r="AC8" s="28" t="str">
        <f aca="false">IF(X8=0,"",IF(COUNTIF($L8:$W8,"E")=X8,"✅ Cumplida",IF(Y8=0,"⏳ Por iniciar",IF(Z8&lt;Y8,"⚠️ Atrasada","▶️ Al día"))))</f>
        <v>✅ Cumplida</v>
      </c>
      <c r="AD8" s="29"/>
    </row>
    <row r="9" customFormat="false" ht="31.5" hidden="false" customHeight="true" outlineLevel="0" collapsed="false">
      <c r="A9" s="21" t="n">
        <v>3</v>
      </c>
      <c r="B9" s="22" t="s">
        <v>103</v>
      </c>
      <c r="C9" s="23" t="s">
        <v>104</v>
      </c>
      <c r="D9" s="23" t="s">
        <v>91</v>
      </c>
      <c r="E9" s="23" t="s">
        <v>105</v>
      </c>
      <c r="F9" s="23" t="s">
        <v>106</v>
      </c>
      <c r="G9" s="23" t="s">
        <v>101</v>
      </c>
      <c r="H9" s="22" t="s">
        <v>95</v>
      </c>
      <c r="I9" s="24" t="n">
        <v>0</v>
      </c>
      <c r="J9" s="22" t="s">
        <v>96</v>
      </c>
      <c r="K9" s="23" t="s">
        <v>107</v>
      </c>
      <c r="L9" s="25"/>
      <c r="M9" s="25" t="s">
        <v>98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6" t="n">
        <f aca="false">COUNTIF($L9:$W9,"P")+COUNTIF($L9:$W9,"E")+COUNTIF($L9:$W9,"N")</f>
        <v>1</v>
      </c>
      <c r="Y9" s="26" t="n">
        <f aca="false">SUMPRODUCT((COLUMN($L9:$W9)-COLUMN($L9)+1&lt;=Datos!$C$14)*(($L9:$W9="P")+($L9:$W9="E")+($L9:$W9="N")))</f>
        <v>1</v>
      </c>
      <c r="Z9" s="26" t="n">
        <f aca="false">SUMPRODUCT((COLUMN($L9:$W9)-COLUMN($L9)+1&lt;=Datos!$C$14)*($L9:$W9="E"))</f>
        <v>1</v>
      </c>
      <c r="AA9" s="27" t="n">
        <f aca="false">IF(Y9=0,"",Z9/Y9)</f>
        <v>1</v>
      </c>
      <c r="AB9" s="28" t="str">
        <f aca="false">IF(Y9=0,"",IF(AA9&gt;=Datos!$C$16,"🟢 Óptimo",IF(AA9&gt;=Datos!$C$17,"🟡 Aceptable","🔴 Crítico")))</f>
        <v>🟢 Óptimo</v>
      </c>
      <c r="AC9" s="28" t="str">
        <f aca="false">IF(X9=0,"",IF(COUNTIF($L9:$W9,"E")=X9,"✅ Cumplida",IF(Y9=0,"⏳ Por iniciar",IF(Z9&lt;Y9,"⚠️ Atrasada","▶️ Al día"))))</f>
        <v>✅ Cumplida</v>
      </c>
      <c r="AD9" s="29"/>
    </row>
    <row r="10" customFormat="false" ht="31.5" hidden="false" customHeight="true" outlineLevel="0" collapsed="false">
      <c r="A10" s="21" t="n">
        <v>4</v>
      </c>
      <c r="B10" s="22" t="s">
        <v>89</v>
      </c>
      <c r="C10" s="23" t="s">
        <v>90</v>
      </c>
      <c r="D10" s="23" t="s">
        <v>91</v>
      </c>
      <c r="E10" s="23" t="s">
        <v>108</v>
      </c>
      <c r="F10" s="23" t="s">
        <v>109</v>
      </c>
      <c r="G10" s="23" t="s">
        <v>101</v>
      </c>
      <c r="H10" s="22" t="s">
        <v>110</v>
      </c>
      <c r="I10" s="24" t="n">
        <v>0</v>
      </c>
      <c r="J10" s="22" t="s">
        <v>96</v>
      </c>
      <c r="K10" s="23" t="s">
        <v>111</v>
      </c>
      <c r="L10" s="25"/>
      <c r="M10" s="25"/>
      <c r="N10" s="25" t="s">
        <v>98</v>
      </c>
      <c r="O10" s="25"/>
      <c r="P10" s="25"/>
      <c r="Q10" s="25"/>
      <c r="R10" s="25"/>
      <c r="S10" s="25"/>
      <c r="T10" s="25"/>
      <c r="U10" s="25"/>
      <c r="V10" s="25"/>
      <c r="W10" s="25"/>
      <c r="X10" s="26" t="n">
        <f aca="false">COUNTIF($L10:$W10,"P")+COUNTIF($L10:$W10,"E")+COUNTIF($L10:$W10,"N")</f>
        <v>1</v>
      </c>
      <c r="Y10" s="26" t="n">
        <f aca="false">SUMPRODUCT((COLUMN($L10:$W10)-COLUMN($L10)+1&lt;=Datos!$C$14)*(($L10:$W10="P")+($L10:$W10="E")+($L10:$W10="N")))</f>
        <v>1</v>
      </c>
      <c r="Z10" s="26" t="n">
        <f aca="false">SUMPRODUCT((COLUMN($L10:$W10)-COLUMN($L10)+1&lt;=Datos!$C$14)*($L10:$W10="E"))</f>
        <v>1</v>
      </c>
      <c r="AA10" s="27" t="n">
        <f aca="false">IF(Y10=0,"",Z10/Y10)</f>
        <v>1</v>
      </c>
      <c r="AB10" s="28" t="str">
        <f aca="false">IF(Y10=0,"",IF(AA10&gt;=Datos!$C$16,"🟢 Óptimo",IF(AA10&gt;=Datos!$C$17,"🟡 Aceptable","🔴 Crítico")))</f>
        <v>🟢 Óptimo</v>
      </c>
      <c r="AC10" s="28" t="str">
        <f aca="false">IF(X10=0,"",IF(COUNTIF($L10:$W10,"E")=X10,"✅ Cumplida",IF(Y10=0,"⏳ Por iniciar",IF(Z10&lt;Y10,"⚠️ Atrasada","▶️ Al día"))))</f>
        <v>✅ Cumplida</v>
      </c>
      <c r="AD10" s="29"/>
    </row>
    <row r="11" customFormat="false" ht="31.5" hidden="false" customHeight="true" outlineLevel="0" collapsed="false">
      <c r="A11" s="21" t="n">
        <v>5</v>
      </c>
      <c r="B11" s="22" t="s">
        <v>89</v>
      </c>
      <c r="C11" s="23" t="s">
        <v>66</v>
      </c>
      <c r="D11" s="23" t="s">
        <v>91</v>
      </c>
      <c r="E11" s="23" t="s">
        <v>112</v>
      </c>
      <c r="F11" s="23" t="s">
        <v>113</v>
      </c>
      <c r="G11" s="23" t="s">
        <v>94</v>
      </c>
      <c r="H11" s="22" t="s">
        <v>114</v>
      </c>
      <c r="I11" s="24" t="n">
        <v>0</v>
      </c>
      <c r="J11" s="22" t="s">
        <v>96</v>
      </c>
      <c r="K11" s="23" t="s">
        <v>115</v>
      </c>
      <c r="L11" s="25" t="s">
        <v>98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6" t="n">
        <f aca="false">COUNTIF($L11:$W11,"P")+COUNTIF($L11:$W11,"E")+COUNTIF($L11:$W11,"N")</f>
        <v>1</v>
      </c>
      <c r="Y11" s="26" t="n">
        <f aca="false">SUMPRODUCT((COLUMN($L11:$W11)-COLUMN($L11)+1&lt;=Datos!$C$14)*(($L11:$W11="P")+($L11:$W11="E")+($L11:$W11="N")))</f>
        <v>1</v>
      </c>
      <c r="Z11" s="26" t="n">
        <f aca="false">SUMPRODUCT((COLUMN($L11:$W11)-COLUMN($L11)+1&lt;=Datos!$C$14)*($L11:$W11="E"))</f>
        <v>1</v>
      </c>
      <c r="AA11" s="27" t="n">
        <f aca="false">IF(Y11=0,"",Z11/Y11)</f>
        <v>1</v>
      </c>
      <c r="AB11" s="28" t="str">
        <f aca="false">IF(Y11=0,"",IF(AA11&gt;=Datos!$C$16,"🟢 Óptimo",IF(AA11&gt;=Datos!$C$17,"🟡 Aceptable","🔴 Crítico")))</f>
        <v>🟢 Óptimo</v>
      </c>
      <c r="AC11" s="28" t="str">
        <f aca="false">IF(X11=0,"",IF(COUNTIF($L11:$W11,"E")=X11,"✅ Cumplida",IF(Y11=0,"⏳ Por iniciar",IF(Z11&lt;Y11,"⚠️ Atrasada","▶️ Al día"))))</f>
        <v>✅ Cumplida</v>
      </c>
      <c r="AD11" s="29"/>
    </row>
    <row r="12" customFormat="false" ht="31.5" hidden="false" customHeight="true" outlineLevel="0" collapsed="false">
      <c r="A12" s="21" t="n">
        <v>6</v>
      </c>
      <c r="B12" s="22" t="s">
        <v>89</v>
      </c>
      <c r="C12" s="23" t="s">
        <v>116</v>
      </c>
      <c r="D12" s="23" t="s">
        <v>117</v>
      </c>
      <c r="E12" s="23" t="s">
        <v>118</v>
      </c>
      <c r="F12" s="23" t="s">
        <v>119</v>
      </c>
      <c r="G12" s="23" t="s">
        <v>101</v>
      </c>
      <c r="H12" s="22" t="s">
        <v>95</v>
      </c>
      <c r="I12" s="24" t="n">
        <v>0</v>
      </c>
      <c r="J12" s="22" t="s">
        <v>96</v>
      </c>
      <c r="K12" s="23" t="s">
        <v>120</v>
      </c>
      <c r="L12" s="25"/>
      <c r="M12" s="25" t="s">
        <v>98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6" t="n">
        <f aca="false">COUNTIF($L12:$W12,"P")+COUNTIF($L12:$W12,"E")+COUNTIF($L12:$W12,"N")</f>
        <v>1</v>
      </c>
      <c r="Y12" s="26" t="n">
        <f aca="false">SUMPRODUCT((COLUMN($L12:$W12)-COLUMN($L12)+1&lt;=Datos!$C$14)*(($L12:$W12="P")+($L12:$W12="E")+($L12:$W12="N")))</f>
        <v>1</v>
      </c>
      <c r="Z12" s="26" t="n">
        <f aca="false">SUMPRODUCT((COLUMN($L12:$W12)-COLUMN($L12)+1&lt;=Datos!$C$14)*($L12:$W12="E"))</f>
        <v>1</v>
      </c>
      <c r="AA12" s="27" t="n">
        <f aca="false">IF(Y12=0,"",Z12/Y12)</f>
        <v>1</v>
      </c>
      <c r="AB12" s="28" t="str">
        <f aca="false">IF(Y12=0,"",IF(AA12&gt;=Datos!$C$16,"🟢 Óptimo",IF(AA12&gt;=Datos!$C$17,"🟡 Aceptable","🔴 Crítico")))</f>
        <v>🟢 Óptimo</v>
      </c>
      <c r="AC12" s="28" t="str">
        <f aca="false">IF(X12=0,"",IF(COUNTIF($L12:$W12,"E")=X12,"✅ Cumplida",IF(Y12=0,"⏳ Por iniciar",IF(Z12&lt;Y12,"⚠️ Atrasada","▶️ Al día"))))</f>
        <v>✅ Cumplida</v>
      </c>
      <c r="AD12" s="29"/>
    </row>
    <row r="13" customFormat="false" ht="31.5" hidden="false" customHeight="true" outlineLevel="0" collapsed="false">
      <c r="A13" s="21" t="n">
        <v>7</v>
      </c>
      <c r="B13" s="22" t="s">
        <v>89</v>
      </c>
      <c r="C13" s="23" t="s">
        <v>90</v>
      </c>
      <c r="D13" s="23" t="s">
        <v>121</v>
      </c>
      <c r="E13" s="23" t="s">
        <v>122</v>
      </c>
      <c r="F13" s="23" t="s">
        <v>123</v>
      </c>
      <c r="G13" s="23" t="s">
        <v>101</v>
      </c>
      <c r="H13" s="22" t="s">
        <v>95</v>
      </c>
      <c r="I13" s="24" t="n">
        <v>0</v>
      </c>
      <c r="J13" s="22" t="s">
        <v>124</v>
      </c>
      <c r="K13" s="23" t="s">
        <v>125</v>
      </c>
      <c r="L13" s="25" t="s">
        <v>98</v>
      </c>
      <c r="M13" s="25"/>
      <c r="N13" s="25"/>
      <c r="O13" s="25"/>
      <c r="P13" s="25"/>
      <c r="Q13" s="25"/>
      <c r="R13" s="25" t="s">
        <v>89</v>
      </c>
      <c r="S13" s="25"/>
      <c r="T13" s="25"/>
      <c r="U13" s="25"/>
      <c r="V13" s="25"/>
      <c r="W13" s="25"/>
      <c r="X13" s="26" t="n">
        <f aca="false">COUNTIF($L13:$W13,"P")+COUNTIF($L13:$W13,"E")+COUNTIF($L13:$W13,"N")</f>
        <v>2</v>
      </c>
      <c r="Y13" s="26" t="n">
        <f aca="false">SUMPRODUCT((COLUMN($L13:$W13)-COLUMN($L13)+1&lt;=Datos!$C$14)*(($L13:$W13="P")+($L13:$W13="E")+($L13:$W13="N")))</f>
        <v>1</v>
      </c>
      <c r="Z13" s="26" t="n">
        <f aca="false">SUMPRODUCT((COLUMN($L13:$W13)-COLUMN($L13)+1&lt;=Datos!$C$14)*($L13:$W13="E"))</f>
        <v>1</v>
      </c>
      <c r="AA13" s="27" t="n">
        <f aca="false">IF(Y13=0,"",Z13/Y13)</f>
        <v>1</v>
      </c>
      <c r="AB13" s="28" t="str">
        <f aca="false">IF(Y13=0,"",IF(AA13&gt;=Datos!$C$16,"🟢 Óptimo",IF(AA13&gt;=Datos!$C$17,"🟡 Aceptable","🔴 Crítico")))</f>
        <v>🟢 Óptimo</v>
      </c>
      <c r="AC13" s="28" t="str">
        <f aca="false">IF(X13=0,"",IF(COUNTIF($L13:$W13,"E")=X13,"✅ Cumplida",IF(Y13=0,"⏳ Por iniciar",IF(Z13&lt;Y13,"⚠️ Atrasada","▶️ Al día"))))</f>
        <v>▶️ Al día</v>
      </c>
      <c r="AD13" s="29"/>
    </row>
    <row r="14" customFormat="false" ht="31.5" hidden="false" customHeight="true" outlineLevel="0" collapsed="false">
      <c r="A14" s="21" t="n">
        <v>8</v>
      </c>
      <c r="B14" s="22" t="s">
        <v>89</v>
      </c>
      <c r="C14" s="23" t="s">
        <v>90</v>
      </c>
      <c r="D14" s="23" t="s">
        <v>91</v>
      </c>
      <c r="E14" s="23" t="s">
        <v>126</v>
      </c>
      <c r="F14" s="23" t="s">
        <v>127</v>
      </c>
      <c r="G14" s="23" t="s">
        <v>128</v>
      </c>
      <c r="H14" s="22" t="s">
        <v>95</v>
      </c>
      <c r="I14" s="24" t="n">
        <v>0</v>
      </c>
      <c r="J14" s="22" t="s">
        <v>96</v>
      </c>
      <c r="K14" s="23" t="s">
        <v>129</v>
      </c>
      <c r="L14" s="25" t="s">
        <v>98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6" t="n">
        <f aca="false">COUNTIF($L14:$W14,"P")+COUNTIF($L14:$W14,"E")+COUNTIF($L14:$W14,"N")</f>
        <v>1</v>
      </c>
      <c r="Y14" s="26" t="n">
        <f aca="false">SUMPRODUCT((COLUMN($L14:$W14)-COLUMN($L14)+1&lt;=Datos!$C$14)*(($L14:$W14="P")+($L14:$W14="E")+($L14:$W14="N")))</f>
        <v>1</v>
      </c>
      <c r="Z14" s="26" t="n">
        <f aca="false">SUMPRODUCT((COLUMN($L14:$W14)-COLUMN($L14)+1&lt;=Datos!$C$14)*($L14:$W14="E"))</f>
        <v>1</v>
      </c>
      <c r="AA14" s="27" t="n">
        <f aca="false">IF(Y14=0,"",Z14/Y14)</f>
        <v>1</v>
      </c>
      <c r="AB14" s="28" t="str">
        <f aca="false">IF(Y14=0,"",IF(AA14&gt;=Datos!$C$16,"🟢 Óptimo",IF(AA14&gt;=Datos!$C$17,"🟡 Aceptable","🔴 Crítico")))</f>
        <v>🟢 Óptimo</v>
      </c>
      <c r="AC14" s="28" t="str">
        <f aca="false">IF(X14=0,"",IF(COUNTIF($L14:$W14,"E")=X14,"✅ Cumplida",IF(Y14=0,"⏳ Por iniciar",IF(Z14&lt;Y14,"⚠️ Atrasada","▶️ Al día"))))</f>
        <v>✅ Cumplida</v>
      </c>
      <c r="AD14" s="29"/>
    </row>
    <row r="15" customFormat="false" ht="31.5" hidden="false" customHeight="true" outlineLevel="0" collapsed="false">
      <c r="A15" s="21" t="n">
        <v>9</v>
      </c>
      <c r="B15" s="22" t="s">
        <v>130</v>
      </c>
      <c r="C15" s="23" t="s">
        <v>66</v>
      </c>
      <c r="D15" s="23" t="s">
        <v>131</v>
      </c>
      <c r="E15" s="23" t="s">
        <v>132</v>
      </c>
      <c r="F15" s="23" t="s">
        <v>133</v>
      </c>
      <c r="G15" s="23" t="s">
        <v>134</v>
      </c>
      <c r="H15" s="22" t="s">
        <v>95</v>
      </c>
      <c r="I15" s="24" t="n">
        <v>1500000</v>
      </c>
      <c r="J15" s="22" t="s">
        <v>124</v>
      </c>
      <c r="K15" s="23" t="s">
        <v>135</v>
      </c>
      <c r="L15" s="25"/>
      <c r="M15" s="25" t="s">
        <v>98</v>
      </c>
      <c r="N15" s="25"/>
      <c r="O15" s="25"/>
      <c r="P15" s="25"/>
      <c r="Q15" s="25"/>
      <c r="R15" s="25"/>
      <c r="S15" s="25" t="s">
        <v>89</v>
      </c>
      <c r="T15" s="25"/>
      <c r="U15" s="25"/>
      <c r="V15" s="25"/>
      <c r="W15" s="25"/>
      <c r="X15" s="26" t="n">
        <f aca="false">COUNTIF($L15:$W15,"P")+COUNTIF($L15:$W15,"E")+COUNTIF($L15:$W15,"N")</f>
        <v>2</v>
      </c>
      <c r="Y15" s="26" t="n">
        <f aca="false">SUMPRODUCT((COLUMN($L15:$W15)-COLUMN($L15)+1&lt;=Datos!$C$14)*(($L15:$W15="P")+($L15:$W15="E")+($L15:$W15="N")))</f>
        <v>1</v>
      </c>
      <c r="Z15" s="26" t="n">
        <f aca="false">SUMPRODUCT((COLUMN($L15:$W15)-COLUMN($L15)+1&lt;=Datos!$C$14)*($L15:$W15="E"))</f>
        <v>1</v>
      </c>
      <c r="AA15" s="27" t="n">
        <f aca="false">IF(Y15=0,"",Z15/Y15)</f>
        <v>1</v>
      </c>
      <c r="AB15" s="28" t="str">
        <f aca="false">IF(Y15=0,"",IF(AA15&gt;=Datos!$C$16,"🟢 Óptimo",IF(AA15&gt;=Datos!$C$17,"🟡 Aceptable","🔴 Crítico")))</f>
        <v>🟢 Óptimo</v>
      </c>
      <c r="AC15" s="28" t="str">
        <f aca="false">IF(X15=0,"",IF(COUNTIF($L15:$W15,"E")=X15,"✅ Cumplida",IF(Y15=0,"⏳ Por iniciar",IF(Z15&lt;Y15,"⚠️ Atrasada","▶️ Al día"))))</f>
        <v>▶️ Al día</v>
      </c>
      <c r="AD15" s="29"/>
    </row>
    <row r="16" customFormat="false" ht="31.5" hidden="false" customHeight="true" outlineLevel="0" collapsed="false">
      <c r="A16" s="21" t="n">
        <v>10</v>
      </c>
      <c r="B16" s="22" t="s">
        <v>130</v>
      </c>
      <c r="C16" s="23" t="s">
        <v>66</v>
      </c>
      <c r="D16" s="23" t="s">
        <v>131</v>
      </c>
      <c r="E16" s="23" t="s">
        <v>136</v>
      </c>
      <c r="F16" s="23" t="s">
        <v>137</v>
      </c>
      <c r="G16" s="23" t="s">
        <v>101</v>
      </c>
      <c r="H16" s="22" t="s">
        <v>138</v>
      </c>
      <c r="I16" s="24" t="n">
        <v>3000000</v>
      </c>
      <c r="J16" s="22" t="s">
        <v>139</v>
      </c>
      <c r="K16" s="23" t="s">
        <v>140</v>
      </c>
      <c r="L16" s="25"/>
      <c r="M16" s="25"/>
      <c r="N16" s="25" t="s">
        <v>98</v>
      </c>
      <c r="O16" s="25"/>
      <c r="P16" s="25" t="s">
        <v>141</v>
      </c>
      <c r="Q16" s="25"/>
      <c r="R16" s="25" t="s">
        <v>89</v>
      </c>
      <c r="S16" s="25"/>
      <c r="T16" s="25" t="s">
        <v>89</v>
      </c>
      <c r="U16" s="25"/>
      <c r="V16" s="25" t="s">
        <v>89</v>
      </c>
      <c r="W16" s="25"/>
      <c r="X16" s="26" t="n">
        <f aca="false">COUNTIF($L16:$W16,"P")+COUNTIF($L16:$W16,"E")+COUNTIF($L16:$W16,"N")</f>
        <v>5</v>
      </c>
      <c r="Y16" s="26" t="n">
        <f aca="false">SUMPRODUCT((COLUMN($L16:$W16)-COLUMN($L16)+1&lt;=Datos!$C$14)*(($L16:$W16="P")+($L16:$W16="E")+($L16:$W16="N")))</f>
        <v>2</v>
      </c>
      <c r="Z16" s="26" t="n">
        <f aca="false">SUMPRODUCT((COLUMN($L16:$W16)-COLUMN($L16)+1&lt;=Datos!$C$14)*($L16:$W16="E"))</f>
        <v>1</v>
      </c>
      <c r="AA16" s="27" t="n">
        <f aca="false">IF(Y16=0,"",Z16/Y16)</f>
        <v>0.5</v>
      </c>
      <c r="AB16" s="28" t="str">
        <f aca="false">IF(Y16=0,"",IF(AA16&gt;=Datos!$C$16,"🟢 Óptimo",IF(AA16&gt;=Datos!$C$17,"🟡 Aceptable","🔴 Crítico")))</f>
        <v>🔴 Crítico</v>
      </c>
      <c r="AC16" s="28" t="str">
        <f aca="false">IF(X16=0,"",IF(COUNTIF($L16:$W16,"E")=X16,"✅ Cumplida",IF(Y16=0,"⏳ Por iniciar",IF(Z16&lt;Y16,"⚠️ Atrasada","▶️ Al día"))))</f>
        <v>⚠️ Atrasada</v>
      </c>
      <c r="AD16" s="29"/>
    </row>
    <row r="17" customFormat="false" ht="31.5" hidden="false" customHeight="true" outlineLevel="0" collapsed="false">
      <c r="A17" s="21" t="n">
        <v>11</v>
      </c>
      <c r="B17" s="22" t="s">
        <v>130</v>
      </c>
      <c r="C17" s="23" t="s">
        <v>66</v>
      </c>
      <c r="D17" s="23" t="s">
        <v>142</v>
      </c>
      <c r="E17" s="23" t="s">
        <v>143</v>
      </c>
      <c r="F17" s="23" t="s">
        <v>144</v>
      </c>
      <c r="G17" s="23" t="s">
        <v>145</v>
      </c>
      <c r="H17" s="22" t="s">
        <v>95</v>
      </c>
      <c r="I17" s="24" t="n">
        <v>0</v>
      </c>
      <c r="J17" s="22" t="s">
        <v>146</v>
      </c>
      <c r="K17" s="23" t="s">
        <v>147</v>
      </c>
      <c r="L17" s="25" t="s">
        <v>98</v>
      </c>
      <c r="M17" s="25" t="s">
        <v>98</v>
      </c>
      <c r="N17" s="25" t="s">
        <v>98</v>
      </c>
      <c r="O17" s="25" t="s">
        <v>141</v>
      </c>
      <c r="P17" s="25" t="s">
        <v>98</v>
      </c>
      <c r="Q17" s="25" t="s">
        <v>98</v>
      </c>
      <c r="R17" s="25" t="s">
        <v>89</v>
      </c>
      <c r="S17" s="25" t="s">
        <v>89</v>
      </c>
      <c r="T17" s="25" t="s">
        <v>89</v>
      </c>
      <c r="U17" s="25" t="s">
        <v>89</v>
      </c>
      <c r="V17" s="25" t="s">
        <v>89</v>
      </c>
      <c r="W17" s="25" t="s">
        <v>89</v>
      </c>
      <c r="X17" s="26" t="n">
        <f aca="false">COUNTIF($L17:$W17,"P")+COUNTIF($L17:$W17,"E")+COUNTIF($L17:$W17,"N")</f>
        <v>12</v>
      </c>
      <c r="Y17" s="26" t="n">
        <f aca="false">SUMPRODUCT((COLUMN($L17:$W17)-COLUMN($L17)+1&lt;=Datos!$C$14)*(($L17:$W17="P")+($L17:$W17="E")+($L17:$W17="N")))</f>
        <v>6</v>
      </c>
      <c r="Z17" s="26" t="n">
        <f aca="false">SUMPRODUCT((COLUMN($L17:$W17)-COLUMN($L17)+1&lt;=Datos!$C$14)*($L17:$W17="E"))</f>
        <v>5</v>
      </c>
      <c r="AA17" s="27" t="n">
        <f aca="false">IF(Y17=0,"",Z17/Y17)</f>
        <v>0.833333333333333</v>
      </c>
      <c r="AB17" s="28" t="str">
        <f aca="false">IF(Y17=0,"",IF(AA17&gt;=Datos!$C$16,"🟢 Óptimo",IF(AA17&gt;=Datos!$C$17,"🟡 Aceptable","🔴 Crítico")))</f>
        <v>🟡 Aceptable</v>
      </c>
      <c r="AC17" s="28" t="str">
        <f aca="false">IF(X17=0,"",IF(COUNTIF($L17:$W17,"E")=X17,"✅ Cumplida",IF(Y17=0,"⏳ Por iniciar",IF(Z17&lt;Y17,"⚠️ Atrasada","▶️ Al día"))))</f>
        <v>⚠️ Atrasada</v>
      </c>
      <c r="AD17" s="29"/>
    </row>
    <row r="18" customFormat="false" ht="31.5" hidden="false" customHeight="true" outlineLevel="0" collapsed="false">
      <c r="A18" s="21" t="n">
        <v>12</v>
      </c>
      <c r="B18" s="22" t="s">
        <v>130</v>
      </c>
      <c r="C18" s="23" t="s">
        <v>66</v>
      </c>
      <c r="D18" s="23" t="s">
        <v>142</v>
      </c>
      <c r="E18" s="23" t="s">
        <v>148</v>
      </c>
      <c r="F18" s="23" t="s">
        <v>149</v>
      </c>
      <c r="G18" s="23" t="s">
        <v>150</v>
      </c>
      <c r="H18" s="22" t="s">
        <v>95</v>
      </c>
      <c r="I18" s="24" t="n">
        <v>0</v>
      </c>
      <c r="J18" s="22" t="s">
        <v>151</v>
      </c>
      <c r="K18" s="23" t="s">
        <v>147</v>
      </c>
      <c r="L18" s="25"/>
      <c r="M18" s="25"/>
      <c r="N18" s="25" t="s">
        <v>98</v>
      </c>
      <c r="O18" s="25"/>
      <c r="P18" s="25"/>
      <c r="Q18" s="25" t="s">
        <v>98</v>
      </c>
      <c r="R18" s="25"/>
      <c r="S18" s="25"/>
      <c r="T18" s="25" t="s">
        <v>89</v>
      </c>
      <c r="U18" s="25"/>
      <c r="V18" s="25"/>
      <c r="W18" s="25" t="s">
        <v>89</v>
      </c>
      <c r="X18" s="26" t="n">
        <f aca="false">COUNTIF($L18:$W18,"P")+COUNTIF($L18:$W18,"E")+COUNTIF($L18:$W18,"N")</f>
        <v>4</v>
      </c>
      <c r="Y18" s="26" t="n">
        <f aca="false">SUMPRODUCT((COLUMN($L18:$W18)-COLUMN($L18)+1&lt;=Datos!$C$14)*(($L18:$W18="P")+($L18:$W18="E")+($L18:$W18="N")))</f>
        <v>2</v>
      </c>
      <c r="Z18" s="26" t="n">
        <f aca="false">SUMPRODUCT((COLUMN($L18:$W18)-COLUMN($L18)+1&lt;=Datos!$C$14)*($L18:$W18="E"))</f>
        <v>2</v>
      </c>
      <c r="AA18" s="27" t="n">
        <f aca="false">IF(Y18=0,"",Z18/Y18)</f>
        <v>1</v>
      </c>
      <c r="AB18" s="28" t="str">
        <f aca="false">IF(Y18=0,"",IF(AA18&gt;=Datos!$C$16,"🟢 Óptimo",IF(AA18&gt;=Datos!$C$17,"🟡 Aceptable","🔴 Crítico")))</f>
        <v>🟢 Óptimo</v>
      </c>
      <c r="AC18" s="28" t="str">
        <f aca="false">IF(X18=0,"",IF(COUNTIF($L18:$W18,"E")=X18,"✅ Cumplida",IF(Y18=0,"⏳ Por iniciar",IF(Z18&lt;Y18,"⚠️ Atrasada","▶️ Al día"))))</f>
        <v>▶️ Al día</v>
      </c>
      <c r="AD18" s="29"/>
    </row>
    <row r="19" customFormat="false" ht="31.5" hidden="false" customHeight="true" outlineLevel="0" collapsed="false">
      <c r="A19" s="21" t="n">
        <v>13</v>
      </c>
      <c r="B19" s="22" t="s">
        <v>130</v>
      </c>
      <c r="C19" s="23" t="s">
        <v>152</v>
      </c>
      <c r="D19" s="23" t="s">
        <v>153</v>
      </c>
      <c r="E19" s="23" t="s">
        <v>154</v>
      </c>
      <c r="F19" s="23" t="s">
        <v>155</v>
      </c>
      <c r="G19" s="23" t="s">
        <v>134</v>
      </c>
      <c r="H19" s="22" t="s">
        <v>114</v>
      </c>
      <c r="I19" s="24" t="n">
        <v>6000000</v>
      </c>
      <c r="J19" s="22" t="s">
        <v>96</v>
      </c>
      <c r="K19" s="23" t="s">
        <v>156</v>
      </c>
      <c r="L19" s="25"/>
      <c r="M19" s="25"/>
      <c r="N19" s="25"/>
      <c r="O19" s="25" t="s">
        <v>98</v>
      </c>
      <c r="P19" s="25" t="s">
        <v>98</v>
      </c>
      <c r="Q19" s="25"/>
      <c r="R19" s="25"/>
      <c r="S19" s="25"/>
      <c r="T19" s="25"/>
      <c r="U19" s="25"/>
      <c r="V19" s="25"/>
      <c r="W19" s="25"/>
      <c r="X19" s="26" t="n">
        <f aca="false">COUNTIF($L19:$W19,"P")+COUNTIF($L19:$W19,"E")+COUNTIF($L19:$W19,"N")</f>
        <v>2</v>
      </c>
      <c r="Y19" s="26" t="n">
        <f aca="false">SUMPRODUCT((COLUMN($L19:$W19)-COLUMN($L19)+1&lt;=Datos!$C$14)*(($L19:$W19="P")+($L19:$W19="E")+($L19:$W19="N")))</f>
        <v>2</v>
      </c>
      <c r="Z19" s="26" t="n">
        <f aca="false">SUMPRODUCT((COLUMN($L19:$W19)-COLUMN($L19)+1&lt;=Datos!$C$14)*($L19:$W19="E"))</f>
        <v>2</v>
      </c>
      <c r="AA19" s="27" t="n">
        <f aca="false">IF(Y19=0,"",Z19/Y19)</f>
        <v>1</v>
      </c>
      <c r="AB19" s="28" t="str">
        <f aca="false">IF(Y19=0,"",IF(AA19&gt;=Datos!$C$16,"🟢 Óptimo",IF(AA19&gt;=Datos!$C$17,"🟡 Aceptable","🔴 Crítico")))</f>
        <v>🟢 Óptimo</v>
      </c>
      <c r="AC19" s="28" t="str">
        <f aca="false">IF(X19=0,"",IF(COUNTIF($L19:$W19,"E")=X19,"✅ Cumplida",IF(Y19=0,"⏳ Por iniciar",IF(Z19&lt;Y19,"⚠️ Atrasada","▶️ Al día"))))</f>
        <v>✅ Cumplida</v>
      </c>
      <c r="AD19" s="29"/>
    </row>
    <row r="20" customFormat="false" ht="31.5" hidden="false" customHeight="true" outlineLevel="0" collapsed="false">
      <c r="A20" s="21" t="n">
        <v>14</v>
      </c>
      <c r="B20" s="22" t="s">
        <v>130</v>
      </c>
      <c r="C20" s="23" t="s">
        <v>152</v>
      </c>
      <c r="D20" s="23" t="s">
        <v>153</v>
      </c>
      <c r="E20" s="23" t="s">
        <v>157</v>
      </c>
      <c r="F20" s="23" t="s">
        <v>158</v>
      </c>
      <c r="G20" s="23" t="s">
        <v>101</v>
      </c>
      <c r="H20" s="22" t="s">
        <v>95</v>
      </c>
      <c r="I20" s="24" t="n">
        <v>0</v>
      </c>
      <c r="J20" s="22" t="s">
        <v>96</v>
      </c>
      <c r="K20" s="23" t="s">
        <v>159</v>
      </c>
      <c r="L20" s="25"/>
      <c r="M20" s="25"/>
      <c r="N20" s="25"/>
      <c r="O20" s="25"/>
      <c r="P20" s="25"/>
      <c r="Q20" s="25" t="s">
        <v>98</v>
      </c>
      <c r="R20" s="25"/>
      <c r="S20" s="25"/>
      <c r="T20" s="25"/>
      <c r="U20" s="25"/>
      <c r="V20" s="25"/>
      <c r="W20" s="25"/>
      <c r="X20" s="26" t="n">
        <f aca="false">COUNTIF($L20:$W20,"P")+COUNTIF($L20:$W20,"E")+COUNTIF($L20:$W20,"N")</f>
        <v>1</v>
      </c>
      <c r="Y20" s="26" t="n">
        <f aca="false">SUMPRODUCT((COLUMN($L20:$W20)-COLUMN($L20)+1&lt;=Datos!$C$14)*(($L20:$W20="P")+($L20:$W20="E")+($L20:$W20="N")))</f>
        <v>1</v>
      </c>
      <c r="Z20" s="26" t="n">
        <f aca="false">SUMPRODUCT((COLUMN($L20:$W20)-COLUMN($L20)+1&lt;=Datos!$C$14)*($L20:$W20="E"))</f>
        <v>1</v>
      </c>
      <c r="AA20" s="27" t="n">
        <f aca="false">IF(Y20=0,"",Z20/Y20)</f>
        <v>1</v>
      </c>
      <c r="AB20" s="28" t="str">
        <f aca="false">IF(Y20=0,"",IF(AA20&gt;=Datos!$C$16,"🟢 Óptimo",IF(AA20&gt;=Datos!$C$17,"🟡 Aceptable","🔴 Crítico")))</f>
        <v>🟢 Óptimo</v>
      </c>
      <c r="AC20" s="28" t="str">
        <f aca="false">IF(X20=0,"",IF(COUNTIF($L20:$W20,"E")=X20,"✅ Cumplida",IF(Y20=0,"⏳ Por iniciar",IF(Z20&lt;Y20,"⚠️ Atrasada","▶️ Al día"))))</f>
        <v>✅ Cumplida</v>
      </c>
      <c r="AD20" s="29"/>
    </row>
    <row r="21" customFormat="false" ht="31.5" hidden="false" customHeight="true" outlineLevel="0" collapsed="false">
      <c r="A21" s="21" t="n">
        <v>15</v>
      </c>
      <c r="B21" s="22" t="s">
        <v>130</v>
      </c>
      <c r="C21" s="23" t="s">
        <v>152</v>
      </c>
      <c r="D21" s="23" t="s">
        <v>160</v>
      </c>
      <c r="E21" s="23" t="s">
        <v>161</v>
      </c>
      <c r="F21" s="23" t="s">
        <v>162</v>
      </c>
      <c r="G21" s="23" t="s">
        <v>101</v>
      </c>
      <c r="H21" s="22" t="s">
        <v>163</v>
      </c>
      <c r="I21" s="24" t="n">
        <v>800000</v>
      </c>
      <c r="J21" s="22" t="s">
        <v>139</v>
      </c>
      <c r="K21" s="23" t="s">
        <v>164</v>
      </c>
      <c r="L21" s="25"/>
      <c r="M21" s="25" t="s">
        <v>98</v>
      </c>
      <c r="N21" s="25"/>
      <c r="O21" s="25" t="s">
        <v>98</v>
      </c>
      <c r="P21" s="25"/>
      <c r="Q21" s="25" t="s">
        <v>141</v>
      </c>
      <c r="R21" s="25"/>
      <c r="S21" s="25" t="s">
        <v>89</v>
      </c>
      <c r="T21" s="25"/>
      <c r="U21" s="25" t="s">
        <v>89</v>
      </c>
      <c r="V21" s="25"/>
      <c r="W21" s="25" t="s">
        <v>89</v>
      </c>
      <c r="X21" s="26" t="n">
        <f aca="false">COUNTIF($L21:$W21,"P")+COUNTIF($L21:$W21,"E")+COUNTIF($L21:$W21,"N")</f>
        <v>6</v>
      </c>
      <c r="Y21" s="26" t="n">
        <f aca="false">SUMPRODUCT((COLUMN($L21:$W21)-COLUMN($L21)+1&lt;=Datos!$C$14)*(($L21:$W21="P")+($L21:$W21="E")+($L21:$W21="N")))</f>
        <v>3</v>
      </c>
      <c r="Z21" s="26" t="n">
        <f aca="false">SUMPRODUCT((COLUMN($L21:$W21)-COLUMN($L21)+1&lt;=Datos!$C$14)*($L21:$W21="E"))</f>
        <v>2</v>
      </c>
      <c r="AA21" s="27" t="n">
        <f aca="false">IF(Y21=0,"",Z21/Y21)</f>
        <v>0.666666666666667</v>
      </c>
      <c r="AB21" s="28" t="str">
        <f aca="false">IF(Y21=0,"",IF(AA21&gt;=Datos!$C$16,"🟢 Óptimo",IF(AA21&gt;=Datos!$C$17,"🟡 Aceptable","🔴 Crítico")))</f>
        <v>🔴 Crítico</v>
      </c>
      <c r="AC21" s="28" t="str">
        <f aca="false">IF(X21=0,"",IF(COUNTIF($L21:$W21,"E")=X21,"✅ Cumplida",IF(Y21=0,"⏳ Por iniciar",IF(Z21&lt;Y21,"⚠️ Atrasada","▶️ Al día"))))</f>
        <v>⚠️ Atrasada</v>
      </c>
      <c r="AD21" s="29"/>
    </row>
    <row r="22" customFormat="false" ht="31.5" hidden="false" customHeight="true" outlineLevel="0" collapsed="false">
      <c r="A22" s="21" t="n">
        <v>16</v>
      </c>
      <c r="B22" s="22" t="s">
        <v>130</v>
      </c>
      <c r="C22" s="23" t="s">
        <v>116</v>
      </c>
      <c r="D22" s="23" t="s">
        <v>165</v>
      </c>
      <c r="E22" s="23" t="s">
        <v>166</v>
      </c>
      <c r="F22" s="23" t="s">
        <v>167</v>
      </c>
      <c r="G22" s="23" t="s">
        <v>168</v>
      </c>
      <c r="H22" s="22" t="s">
        <v>114</v>
      </c>
      <c r="I22" s="24" t="n">
        <v>2500000</v>
      </c>
      <c r="J22" s="22" t="s">
        <v>96</v>
      </c>
      <c r="K22" s="23" t="s">
        <v>169</v>
      </c>
      <c r="L22" s="25"/>
      <c r="M22" s="25"/>
      <c r="N22" s="25"/>
      <c r="O22" s="25"/>
      <c r="P22" s="25"/>
      <c r="Q22" s="25"/>
      <c r="R22" s="25" t="s">
        <v>89</v>
      </c>
      <c r="S22" s="25"/>
      <c r="T22" s="25"/>
      <c r="U22" s="25"/>
      <c r="V22" s="25"/>
      <c r="W22" s="25"/>
      <c r="X22" s="26" t="n">
        <f aca="false">COUNTIF($L22:$W22,"P")+COUNTIF($L22:$W22,"E")+COUNTIF($L22:$W22,"N")</f>
        <v>1</v>
      </c>
      <c r="Y22" s="26" t="n">
        <f aca="false">SUMPRODUCT((COLUMN($L22:$W22)-COLUMN($L22)+1&lt;=Datos!$C$14)*(($L22:$W22="P")+($L22:$W22="E")+($L22:$W22="N")))</f>
        <v>0</v>
      </c>
      <c r="Z22" s="26" t="n">
        <f aca="false">SUMPRODUCT((COLUMN($L22:$W22)-COLUMN($L22)+1&lt;=Datos!$C$14)*($L22:$W22="E"))</f>
        <v>0</v>
      </c>
      <c r="AA22" s="27" t="str">
        <f aca="false">IF(Y22=0,"",Z22/Y22)</f>
        <v/>
      </c>
      <c r="AB22" s="28" t="str">
        <f aca="false">IF(Y22=0,"",IF(AA22&gt;=Datos!$C$16,"🟢 Óptimo",IF(AA22&gt;=Datos!$C$17,"🟡 Aceptable","🔴 Crítico")))</f>
        <v/>
      </c>
      <c r="AC22" s="28" t="str">
        <f aca="false">IF(X22=0,"",IF(COUNTIF($L22:$W22,"E")=X22,"✅ Cumplida",IF(Y22=0,"⏳ Por iniciar",IF(Z22&lt;Y22,"⚠️ Atrasada","▶️ Al día"))))</f>
        <v>⏳ Por iniciar</v>
      </c>
      <c r="AD22" s="29"/>
    </row>
    <row r="23" customFormat="false" ht="31.5" hidden="false" customHeight="true" outlineLevel="0" collapsed="false">
      <c r="A23" s="21" t="n">
        <v>17</v>
      </c>
      <c r="B23" s="22" t="s">
        <v>130</v>
      </c>
      <c r="C23" s="23" t="s">
        <v>116</v>
      </c>
      <c r="D23" s="23" t="s">
        <v>170</v>
      </c>
      <c r="E23" s="23" t="s">
        <v>171</v>
      </c>
      <c r="F23" s="23" t="s">
        <v>172</v>
      </c>
      <c r="G23" s="23" t="s">
        <v>173</v>
      </c>
      <c r="H23" s="22" t="s">
        <v>95</v>
      </c>
      <c r="I23" s="24" t="n">
        <v>0</v>
      </c>
      <c r="J23" s="22" t="s">
        <v>139</v>
      </c>
      <c r="K23" s="23" t="s">
        <v>174</v>
      </c>
      <c r="L23" s="25"/>
      <c r="M23" s="25" t="s">
        <v>98</v>
      </c>
      <c r="N23" s="25"/>
      <c r="O23" s="25" t="s">
        <v>98</v>
      </c>
      <c r="P23" s="25"/>
      <c r="Q23" s="25" t="s">
        <v>98</v>
      </c>
      <c r="R23" s="25"/>
      <c r="S23" s="25" t="s">
        <v>89</v>
      </c>
      <c r="T23" s="25"/>
      <c r="U23" s="25" t="s">
        <v>89</v>
      </c>
      <c r="V23" s="25"/>
      <c r="W23" s="25" t="s">
        <v>89</v>
      </c>
      <c r="X23" s="26" t="n">
        <f aca="false">COUNTIF($L23:$W23,"P")+COUNTIF($L23:$W23,"E")+COUNTIF($L23:$W23,"N")</f>
        <v>6</v>
      </c>
      <c r="Y23" s="26" t="n">
        <f aca="false">SUMPRODUCT((COLUMN($L23:$W23)-COLUMN($L23)+1&lt;=Datos!$C$14)*(($L23:$W23="P")+($L23:$W23="E")+($L23:$W23="N")))</f>
        <v>3</v>
      </c>
      <c r="Z23" s="26" t="n">
        <f aca="false">SUMPRODUCT((COLUMN($L23:$W23)-COLUMN($L23)+1&lt;=Datos!$C$14)*($L23:$W23="E"))</f>
        <v>3</v>
      </c>
      <c r="AA23" s="27" t="n">
        <f aca="false">IF(Y23=0,"",Z23/Y23)</f>
        <v>1</v>
      </c>
      <c r="AB23" s="28" t="str">
        <f aca="false">IF(Y23=0,"",IF(AA23&gt;=Datos!$C$16,"🟢 Óptimo",IF(AA23&gt;=Datos!$C$17,"🟡 Aceptable","🔴 Crítico")))</f>
        <v>🟢 Óptimo</v>
      </c>
      <c r="AC23" s="28" t="str">
        <f aca="false">IF(X23=0,"",IF(COUNTIF($L23:$W23,"E")=X23,"✅ Cumplida",IF(Y23=0,"⏳ Por iniciar",IF(Z23&lt;Y23,"⚠️ Atrasada","▶️ Al día"))))</f>
        <v>▶️ Al día</v>
      </c>
      <c r="AD23" s="29"/>
    </row>
    <row r="24" customFormat="false" ht="31.5" hidden="false" customHeight="true" outlineLevel="0" collapsed="false">
      <c r="A24" s="21" t="n">
        <v>18</v>
      </c>
      <c r="B24" s="22" t="s">
        <v>130</v>
      </c>
      <c r="C24" s="23" t="s">
        <v>116</v>
      </c>
      <c r="D24" s="23" t="s">
        <v>175</v>
      </c>
      <c r="E24" s="23" t="s">
        <v>176</v>
      </c>
      <c r="F24" s="23" t="s">
        <v>177</v>
      </c>
      <c r="G24" s="23" t="s">
        <v>178</v>
      </c>
      <c r="H24" s="22" t="s">
        <v>114</v>
      </c>
      <c r="I24" s="24" t="n">
        <v>4000000</v>
      </c>
      <c r="J24" s="22" t="s">
        <v>151</v>
      </c>
      <c r="K24" s="23" t="s">
        <v>179</v>
      </c>
      <c r="L24" s="25" t="s">
        <v>98</v>
      </c>
      <c r="M24" s="25"/>
      <c r="N24" s="25"/>
      <c r="O24" s="25" t="s">
        <v>98</v>
      </c>
      <c r="P24" s="25"/>
      <c r="Q24" s="25"/>
      <c r="R24" s="25" t="s">
        <v>89</v>
      </c>
      <c r="S24" s="25"/>
      <c r="T24" s="25"/>
      <c r="U24" s="25" t="s">
        <v>89</v>
      </c>
      <c r="V24" s="25"/>
      <c r="W24" s="25"/>
      <c r="X24" s="26" t="n">
        <f aca="false">COUNTIF($L24:$W24,"P")+COUNTIF($L24:$W24,"E")+COUNTIF($L24:$W24,"N")</f>
        <v>4</v>
      </c>
      <c r="Y24" s="26" t="n">
        <f aca="false">SUMPRODUCT((COLUMN($L24:$W24)-COLUMN($L24)+1&lt;=Datos!$C$14)*(($L24:$W24="P")+($L24:$W24="E")+($L24:$W24="N")))</f>
        <v>2</v>
      </c>
      <c r="Z24" s="26" t="n">
        <f aca="false">SUMPRODUCT((COLUMN($L24:$W24)-COLUMN($L24)+1&lt;=Datos!$C$14)*($L24:$W24="E"))</f>
        <v>2</v>
      </c>
      <c r="AA24" s="27" t="n">
        <f aca="false">IF(Y24=0,"",Z24/Y24)</f>
        <v>1</v>
      </c>
      <c r="AB24" s="28" t="str">
        <f aca="false">IF(Y24=0,"",IF(AA24&gt;=Datos!$C$16,"🟢 Óptimo",IF(AA24&gt;=Datos!$C$17,"🟡 Aceptable","🔴 Crítico")))</f>
        <v>🟢 Óptimo</v>
      </c>
      <c r="AC24" s="28" t="str">
        <f aca="false">IF(X24=0,"",IF(COUNTIF($L24:$W24,"E")=X24,"✅ Cumplida",IF(Y24=0,"⏳ Por iniciar",IF(Z24&lt;Y24,"⚠️ Atrasada","▶️ Al día"))))</f>
        <v>▶️ Al día</v>
      </c>
      <c r="AD24" s="29"/>
    </row>
    <row r="25" customFormat="false" ht="31.5" hidden="false" customHeight="true" outlineLevel="0" collapsed="false">
      <c r="A25" s="21" t="n">
        <v>19</v>
      </c>
      <c r="B25" s="22" t="s">
        <v>130</v>
      </c>
      <c r="C25" s="23" t="s">
        <v>180</v>
      </c>
      <c r="D25" s="23" t="s">
        <v>181</v>
      </c>
      <c r="E25" s="23" t="s">
        <v>182</v>
      </c>
      <c r="F25" s="23" t="s">
        <v>183</v>
      </c>
      <c r="G25" s="23" t="s">
        <v>101</v>
      </c>
      <c r="H25" s="22" t="s">
        <v>95</v>
      </c>
      <c r="I25" s="24" t="n">
        <v>0</v>
      </c>
      <c r="J25" s="22" t="s">
        <v>96</v>
      </c>
      <c r="K25" s="23" t="s">
        <v>184</v>
      </c>
      <c r="L25" s="25"/>
      <c r="M25" s="25" t="s">
        <v>98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6" t="n">
        <f aca="false">COUNTIF($L25:$W25,"P")+COUNTIF($L25:$W25,"E")+COUNTIF($L25:$W25,"N")</f>
        <v>1</v>
      </c>
      <c r="Y25" s="26" t="n">
        <f aca="false">SUMPRODUCT((COLUMN($L25:$W25)-COLUMN($L25)+1&lt;=Datos!$C$14)*(($L25:$W25="P")+($L25:$W25="E")+($L25:$W25="N")))</f>
        <v>1</v>
      </c>
      <c r="Z25" s="26" t="n">
        <f aca="false">SUMPRODUCT((COLUMN($L25:$W25)-COLUMN($L25)+1&lt;=Datos!$C$14)*($L25:$W25="E"))</f>
        <v>1</v>
      </c>
      <c r="AA25" s="27" t="n">
        <f aca="false">IF(Y25=0,"",Z25/Y25)</f>
        <v>1</v>
      </c>
      <c r="AB25" s="28" t="str">
        <f aca="false">IF(Y25=0,"",IF(AA25&gt;=Datos!$C$16,"🟢 Óptimo",IF(AA25&gt;=Datos!$C$17,"🟡 Aceptable","🔴 Crítico")))</f>
        <v>🟢 Óptimo</v>
      </c>
      <c r="AC25" s="28" t="str">
        <f aca="false">IF(X25=0,"",IF(COUNTIF($L25:$W25,"E")=X25,"✅ Cumplida",IF(Y25=0,"⏳ Por iniciar",IF(Z25&lt;Y25,"⚠️ Atrasada","▶️ Al día"))))</f>
        <v>✅ Cumplida</v>
      </c>
      <c r="AD25" s="29"/>
    </row>
    <row r="26" customFormat="false" ht="31.5" hidden="false" customHeight="true" outlineLevel="0" collapsed="false">
      <c r="A26" s="21" t="n">
        <v>20</v>
      </c>
      <c r="B26" s="22" t="s">
        <v>130</v>
      </c>
      <c r="C26" s="23" t="s">
        <v>180</v>
      </c>
      <c r="D26" s="23" t="s">
        <v>181</v>
      </c>
      <c r="E26" s="23" t="s">
        <v>185</v>
      </c>
      <c r="F26" s="23" t="s">
        <v>186</v>
      </c>
      <c r="G26" s="23" t="s">
        <v>187</v>
      </c>
      <c r="H26" s="22" t="s">
        <v>138</v>
      </c>
      <c r="I26" s="24" t="n">
        <v>1500000</v>
      </c>
      <c r="J26" s="22" t="s">
        <v>124</v>
      </c>
      <c r="K26" s="23" t="s">
        <v>188</v>
      </c>
      <c r="L26" s="25"/>
      <c r="M26" s="25"/>
      <c r="N26" s="25" t="s">
        <v>98</v>
      </c>
      <c r="O26" s="25"/>
      <c r="P26" s="25"/>
      <c r="Q26" s="25"/>
      <c r="R26" s="25"/>
      <c r="S26" s="25" t="s">
        <v>89</v>
      </c>
      <c r="T26" s="25"/>
      <c r="U26" s="25"/>
      <c r="V26" s="25"/>
      <c r="W26" s="25"/>
      <c r="X26" s="26" t="n">
        <f aca="false">COUNTIF($L26:$W26,"P")+COUNTIF($L26:$W26,"E")+COUNTIF($L26:$W26,"N")</f>
        <v>2</v>
      </c>
      <c r="Y26" s="26" t="n">
        <f aca="false">SUMPRODUCT((COLUMN($L26:$W26)-COLUMN($L26)+1&lt;=Datos!$C$14)*(($L26:$W26="P")+($L26:$W26="E")+($L26:$W26="N")))</f>
        <v>1</v>
      </c>
      <c r="Z26" s="26" t="n">
        <f aca="false">SUMPRODUCT((COLUMN($L26:$W26)-COLUMN($L26)+1&lt;=Datos!$C$14)*($L26:$W26="E"))</f>
        <v>1</v>
      </c>
      <c r="AA26" s="27" t="n">
        <f aca="false">IF(Y26=0,"",Z26/Y26)</f>
        <v>1</v>
      </c>
      <c r="AB26" s="28" t="str">
        <f aca="false">IF(Y26=0,"",IF(AA26&gt;=Datos!$C$16,"🟢 Óptimo",IF(AA26&gt;=Datos!$C$17,"🟡 Aceptable","🔴 Crítico")))</f>
        <v>🟢 Óptimo</v>
      </c>
      <c r="AC26" s="28" t="str">
        <f aca="false">IF(X26=0,"",IF(COUNTIF($L26:$W26,"E")=X26,"✅ Cumplida",IF(Y26=0,"⏳ Por iniciar",IF(Z26&lt;Y26,"⚠️ Atrasada","▶️ Al día"))))</f>
        <v>▶️ Al día</v>
      </c>
      <c r="AD26" s="29"/>
    </row>
    <row r="27" customFormat="false" ht="31.5" hidden="false" customHeight="true" outlineLevel="0" collapsed="false">
      <c r="A27" s="21" t="n">
        <v>21</v>
      </c>
      <c r="B27" s="22" t="s">
        <v>130</v>
      </c>
      <c r="C27" s="23" t="s">
        <v>180</v>
      </c>
      <c r="D27" s="23" t="s">
        <v>181</v>
      </c>
      <c r="E27" s="23" t="s">
        <v>189</v>
      </c>
      <c r="F27" s="23" t="s">
        <v>190</v>
      </c>
      <c r="G27" s="23" t="s">
        <v>187</v>
      </c>
      <c r="H27" s="22" t="s">
        <v>95</v>
      </c>
      <c r="I27" s="24" t="n">
        <v>0</v>
      </c>
      <c r="J27" s="22" t="s">
        <v>96</v>
      </c>
      <c r="K27" s="23" t="s">
        <v>191</v>
      </c>
      <c r="L27" s="25"/>
      <c r="M27" s="25"/>
      <c r="N27" s="25"/>
      <c r="O27" s="25"/>
      <c r="P27" s="25"/>
      <c r="Q27" s="25"/>
      <c r="R27" s="25"/>
      <c r="S27" s="25"/>
      <c r="T27" s="25"/>
      <c r="U27" s="25" t="s">
        <v>89</v>
      </c>
      <c r="V27" s="25"/>
      <c r="W27" s="25"/>
      <c r="X27" s="26" t="n">
        <f aca="false">COUNTIF($L27:$W27,"P")+COUNTIF($L27:$W27,"E")+COUNTIF($L27:$W27,"N")</f>
        <v>1</v>
      </c>
      <c r="Y27" s="26" t="n">
        <f aca="false">SUMPRODUCT((COLUMN($L27:$W27)-COLUMN($L27)+1&lt;=Datos!$C$14)*(($L27:$W27="P")+($L27:$W27="E")+($L27:$W27="N")))</f>
        <v>0</v>
      </c>
      <c r="Z27" s="26" t="n">
        <f aca="false">SUMPRODUCT((COLUMN($L27:$W27)-COLUMN($L27)+1&lt;=Datos!$C$14)*($L27:$W27="E"))</f>
        <v>0</v>
      </c>
      <c r="AA27" s="27" t="str">
        <f aca="false">IF(Y27=0,"",Z27/Y27)</f>
        <v/>
      </c>
      <c r="AB27" s="28" t="str">
        <f aca="false">IF(Y27=0,"",IF(AA27&gt;=Datos!$C$16,"🟢 Óptimo",IF(AA27&gt;=Datos!$C$17,"🟡 Aceptable","🔴 Crítico")))</f>
        <v/>
      </c>
      <c r="AC27" s="28" t="str">
        <f aca="false">IF(X27=0,"",IF(COUNTIF($L27:$W27,"E")=X27,"✅ Cumplida",IF(Y27=0,"⏳ Por iniciar",IF(Z27&lt;Y27,"⚠️ Atrasada","▶️ Al día"))))</f>
        <v>⏳ Por iniciar</v>
      </c>
      <c r="AD27" s="29"/>
    </row>
    <row r="28" customFormat="false" ht="31.5" hidden="false" customHeight="true" outlineLevel="0" collapsed="false">
      <c r="A28" s="21" t="n">
        <v>22</v>
      </c>
      <c r="B28" s="22" t="s">
        <v>130</v>
      </c>
      <c r="C28" s="23" t="s">
        <v>180</v>
      </c>
      <c r="D28" s="23" t="s">
        <v>181</v>
      </c>
      <c r="E28" s="23" t="s">
        <v>192</v>
      </c>
      <c r="F28" s="23" t="s">
        <v>193</v>
      </c>
      <c r="G28" s="23" t="s">
        <v>194</v>
      </c>
      <c r="H28" s="22" t="s">
        <v>195</v>
      </c>
      <c r="I28" s="24" t="n">
        <v>600000</v>
      </c>
      <c r="J28" s="22" t="s">
        <v>151</v>
      </c>
      <c r="K28" s="23" t="s">
        <v>196</v>
      </c>
      <c r="L28" s="25" t="s">
        <v>98</v>
      </c>
      <c r="M28" s="25"/>
      <c r="N28" s="25"/>
      <c r="O28" s="25" t="s">
        <v>98</v>
      </c>
      <c r="P28" s="25"/>
      <c r="Q28" s="25"/>
      <c r="R28" s="25" t="s">
        <v>89</v>
      </c>
      <c r="S28" s="25"/>
      <c r="T28" s="25"/>
      <c r="U28" s="25" t="s">
        <v>89</v>
      </c>
      <c r="V28" s="25"/>
      <c r="W28" s="25"/>
      <c r="X28" s="26" t="n">
        <f aca="false">COUNTIF($L28:$W28,"P")+COUNTIF($L28:$W28,"E")+COUNTIF($L28:$W28,"N")</f>
        <v>4</v>
      </c>
      <c r="Y28" s="26" t="n">
        <f aca="false">SUMPRODUCT((COLUMN($L28:$W28)-COLUMN($L28)+1&lt;=Datos!$C$14)*(($L28:$W28="P")+($L28:$W28="E")+($L28:$W28="N")))</f>
        <v>2</v>
      </c>
      <c r="Z28" s="26" t="n">
        <f aca="false">SUMPRODUCT((COLUMN($L28:$W28)-COLUMN($L28)+1&lt;=Datos!$C$14)*($L28:$W28="E"))</f>
        <v>2</v>
      </c>
      <c r="AA28" s="27" t="n">
        <f aca="false">IF(Y28=0,"",Z28/Y28)</f>
        <v>1</v>
      </c>
      <c r="AB28" s="28" t="str">
        <f aca="false">IF(Y28=0,"",IF(AA28&gt;=Datos!$C$16,"🟢 Óptimo",IF(AA28&gt;=Datos!$C$17,"🟡 Aceptable","🔴 Crítico")))</f>
        <v>🟢 Óptimo</v>
      </c>
      <c r="AC28" s="28" t="str">
        <f aca="false">IF(X28=0,"",IF(COUNTIF($L28:$W28,"E")=X28,"✅ Cumplida",IF(Y28=0,"⏳ Por iniciar",IF(Z28&lt;Y28,"⚠️ Atrasada","▶️ Al día"))))</f>
        <v>▶️ Al día</v>
      </c>
      <c r="AD28" s="29"/>
    </row>
    <row r="29" customFormat="false" ht="31.5" hidden="false" customHeight="true" outlineLevel="0" collapsed="false">
      <c r="A29" s="21" t="n">
        <v>23</v>
      </c>
      <c r="B29" s="22" t="s">
        <v>130</v>
      </c>
      <c r="C29" s="23" t="s">
        <v>116</v>
      </c>
      <c r="D29" s="23" t="s">
        <v>197</v>
      </c>
      <c r="E29" s="23" t="s">
        <v>198</v>
      </c>
      <c r="F29" s="23" t="s">
        <v>199</v>
      </c>
      <c r="G29" s="23" t="s">
        <v>200</v>
      </c>
      <c r="H29" s="22" t="s">
        <v>138</v>
      </c>
      <c r="I29" s="24" t="n">
        <v>2000000</v>
      </c>
      <c r="J29" s="22" t="s">
        <v>146</v>
      </c>
      <c r="K29" s="23" t="s">
        <v>201</v>
      </c>
      <c r="L29" s="25" t="s">
        <v>98</v>
      </c>
      <c r="M29" s="25" t="s">
        <v>98</v>
      </c>
      <c r="N29" s="25" t="s">
        <v>141</v>
      </c>
      <c r="O29" s="25" t="s">
        <v>98</v>
      </c>
      <c r="P29" s="25" t="s">
        <v>98</v>
      </c>
      <c r="Q29" s="25" t="s">
        <v>98</v>
      </c>
      <c r="R29" s="25" t="s">
        <v>89</v>
      </c>
      <c r="S29" s="25" t="s">
        <v>89</v>
      </c>
      <c r="T29" s="25" t="s">
        <v>89</v>
      </c>
      <c r="U29" s="25" t="s">
        <v>89</v>
      </c>
      <c r="V29" s="25" t="s">
        <v>89</v>
      </c>
      <c r="W29" s="25" t="s">
        <v>89</v>
      </c>
      <c r="X29" s="26" t="n">
        <f aca="false">COUNTIF($L29:$W29,"P")+COUNTIF($L29:$W29,"E")+COUNTIF($L29:$W29,"N")</f>
        <v>12</v>
      </c>
      <c r="Y29" s="26" t="n">
        <f aca="false">SUMPRODUCT((COLUMN($L29:$W29)-COLUMN($L29)+1&lt;=Datos!$C$14)*(($L29:$W29="P")+($L29:$W29="E")+($L29:$W29="N")))</f>
        <v>6</v>
      </c>
      <c r="Z29" s="26" t="n">
        <f aca="false">SUMPRODUCT((COLUMN($L29:$W29)-COLUMN($L29)+1&lt;=Datos!$C$14)*($L29:$W29="E"))</f>
        <v>5</v>
      </c>
      <c r="AA29" s="27" t="n">
        <f aca="false">IF(Y29=0,"",Z29/Y29)</f>
        <v>0.833333333333333</v>
      </c>
      <c r="AB29" s="28" t="str">
        <f aca="false">IF(Y29=0,"",IF(AA29&gt;=Datos!$C$16,"🟢 Óptimo",IF(AA29&gt;=Datos!$C$17,"🟡 Aceptable","🔴 Crítico")))</f>
        <v>🟡 Aceptable</v>
      </c>
      <c r="AC29" s="28" t="str">
        <f aca="false">IF(X29=0,"",IF(COUNTIF($L29:$W29,"E")=X29,"✅ Cumplida",IF(Y29=0,"⏳ Por iniciar",IF(Z29&lt;Y29,"⚠️ Atrasada","▶️ Al día"))))</f>
        <v>⚠️ Atrasada</v>
      </c>
      <c r="AD29" s="29"/>
    </row>
    <row r="30" customFormat="false" ht="31.5" hidden="false" customHeight="true" outlineLevel="0" collapsed="false">
      <c r="A30" s="21" t="n">
        <v>24</v>
      </c>
      <c r="B30" s="22" t="s">
        <v>130</v>
      </c>
      <c r="C30" s="23" t="s">
        <v>90</v>
      </c>
      <c r="D30" s="23" t="s">
        <v>202</v>
      </c>
      <c r="E30" s="23" t="s">
        <v>203</v>
      </c>
      <c r="F30" s="23" t="s">
        <v>204</v>
      </c>
      <c r="G30" s="23" t="s">
        <v>205</v>
      </c>
      <c r="H30" s="22" t="s">
        <v>95</v>
      </c>
      <c r="I30" s="24" t="n">
        <v>0</v>
      </c>
      <c r="J30" s="22" t="s">
        <v>124</v>
      </c>
      <c r="K30" s="23" t="s">
        <v>206</v>
      </c>
      <c r="L30" s="25"/>
      <c r="M30" s="25"/>
      <c r="N30" s="25" t="s">
        <v>98</v>
      </c>
      <c r="O30" s="25"/>
      <c r="P30" s="25"/>
      <c r="Q30" s="25"/>
      <c r="R30" s="25"/>
      <c r="S30" s="25"/>
      <c r="T30" s="25" t="s">
        <v>89</v>
      </c>
      <c r="U30" s="25"/>
      <c r="V30" s="25"/>
      <c r="W30" s="25"/>
      <c r="X30" s="26" t="n">
        <f aca="false">COUNTIF($L30:$W30,"P")+COUNTIF($L30:$W30,"E")+COUNTIF($L30:$W30,"N")</f>
        <v>2</v>
      </c>
      <c r="Y30" s="26" t="n">
        <f aca="false">SUMPRODUCT((COLUMN($L30:$W30)-COLUMN($L30)+1&lt;=Datos!$C$14)*(($L30:$W30="P")+($L30:$W30="E")+($L30:$W30="N")))</f>
        <v>1</v>
      </c>
      <c r="Z30" s="26" t="n">
        <f aca="false">SUMPRODUCT((COLUMN($L30:$W30)-COLUMN($L30)+1&lt;=Datos!$C$14)*($L30:$W30="E"))</f>
        <v>1</v>
      </c>
      <c r="AA30" s="27" t="n">
        <f aca="false">IF(Y30=0,"",Z30/Y30)</f>
        <v>1</v>
      </c>
      <c r="AB30" s="28" t="str">
        <f aca="false">IF(Y30=0,"",IF(AA30&gt;=Datos!$C$16,"🟢 Óptimo",IF(AA30&gt;=Datos!$C$17,"🟡 Aceptable","🔴 Crítico")))</f>
        <v>🟢 Óptimo</v>
      </c>
      <c r="AC30" s="28" t="str">
        <f aca="false">IF(X30=0,"",IF(COUNTIF($L30:$W30,"E")=X30,"✅ Cumplida",IF(Y30=0,"⏳ Por iniciar",IF(Z30&lt;Y30,"⚠️ Atrasada","▶️ Al día"))))</f>
        <v>▶️ Al día</v>
      </c>
      <c r="AD30" s="29"/>
    </row>
    <row r="31" customFormat="false" ht="31.5" hidden="false" customHeight="true" outlineLevel="0" collapsed="false">
      <c r="A31" s="21" t="n">
        <v>25</v>
      </c>
      <c r="B31" s="22" t="s">
        <v>130</v>
      </c>
      <c r="C31" s="23" t="s">
        <v>90</v>
      </c>
      <c r="D31" s="23" t="s">
        <v>207</v>
      </c>
      <c r="E31" s="23" t="s">
        <v>208</v>
      </c>
      <c r="F31" s="23" t="s">
        <v>209</v>
      </c>
      <c r="G31" s="23" t="s">
        <v>101</v>
      </c>
      <c r="H31" s="22" t="s">
        <v>95</v>
      </c>
      <c r="I31" s="24" t="n">
        <v>0</v>
      </c>
      <c r="J31" s="22" t="s">
        <v>124</v>
      </c>
      <c r="K31" s="23" t="s">
        <v>210</v>
      </c>
      <c r="L31" s="25"/>
      <c r="M31" s="25"/>
      <c r="N31" s="25"/>
      <c r="O31" s="25"/>
      <c r="P31" s="25"/>
      <c r="Q31" s="25" t="s">
        <v>98</v>
      </c>
      <c r="R31" s="25"/>
      <c r="S31" s="25"/>
      <c r="T31" s="25"/>
      <c r="U31" s="25"/>
      <c r="V31" s="25"/>
      <c r="W31" s="25" t="s">
        <v>89</v>
      </c>
      <c r="X31" s="26" t="n">
        <f aca="false">COUNTIF($L31:$W31,"P")+COUNTIF($L31:$W31,"E")+COUNTIF($L31:$W31,"N")</f>
        <v>2</v>
      </c>
      <c r="Y31" s="26" t="n">
        <f aca="false">SUMPRODUCT((COLUMN($L31:$W31)-COLUMN($L31)+1&lt;=Datos!$C$14)*(($L31:$W31="P")+($L31:$W31="E")+($L31:$W31="N")))</f>
        <v>1</v>
      </c>
      <c r="Z31" s="26" t="n">
        <f aca="false">SUMPRODUCT((COLUMN($L31:$W31)-COLUMN($L31)+1&lt;=Datos!$C$14)*($L31:$W31="E"))</f>
        <v>1</v>
      </c>
      <c r="AA31" s="27" t="n">
        <f aca="false">IF(Y31=0,"",Z31/Y31)</f>
        <v>1</v>
      </c>
      <c r="AB31" s="28" t="str">
        <f aca="false">IF(Y31=0,"",IF(AA31&gt;=Datos!$C$16,"🟢 Óptimo",IF(AA31&gt;=Datos!$C$17,"🟡 Aceptable","🔴 Crítico")))</f>
        <v>🟢 Óptimo</v>
      </c>
      <c r="AC31" s="28" t="str">
        <f aca="false">IF(X31=0,"",IF(COUNTIF($L31:$W31,"E")=X31,"✅ Cumplida",IF(Y31=0,"⏳ Por iniciar",IF(Z31&lt;Y31,"⚠️ Atrasada","▶️ Al día"))))</f>
        <v>▶️ Al día</v>
      </c>
      <c r="AD31" s="29"/>
    </row>
    <row r="32" customFormat="false" ht="31.5" hidden="false" customHeight="true" outlineLevel="0" collapsed="false">
      <c r="A32" s="21" t="n">
        <v>26</v>
      </c>
      <c r="B32" s="22" t="s">
        <v>130</v>
      </c>
      <c r="C32" s="23" t="s">
        <v>152</v>
      </c>
      <c r="D32" s="23" t="s">
        <v>211</v>
      </c>
      <c r="E32" s="23" t="s">
        <v>212</v>
      </c>
      <c r="F32" s="23" t="s">
        <v>213</v>
      </c>
      <c r="G32" s="23" t="s">
        <v>214</v>
      </c>
      <c r="H32" s="22" t="s">
        <v>95</v>
      </c>
      <c r="I32" s="24" t="n">
        <v>0</v>
      </c>
      <c r="J32" s="22" t="s">
        <v>146</v>
      </c>
      <c r="K32" s="23" t="s">
        <v>215</v>
      </c>
      <c r="L32" s="25" t="s">
        <v>98</v>
      </c>
      <c r="M32" s="25" t="s">
        <v>98</v>
      </c>
      <c r="N32" s="25" t="s">
        <v>98</v>
      </c>
      <c r="O32" s="25" t="s">
        <v>98</v>
      </c>
      <c r="P32" s="25" t="s">
        <v>98</v>
      </c>
      <c r="Q32" s="25" t="s">
        <v>98</v>
      </c>
      <c r="R32" s="25" t="s">
        <v>89</v>
      </c>
      <c r="S32" s="25" t="s">
        <v>89</v>
      </c>
      <c r="T32" s="25" t="s">
        <v>89</v>
      </c>
      <c r="U32" s="25" t="s">
        <v>89</v>
      </c>
      <c r="V32" s="25" t="s">
        <v>89</v>
      </c>
      <c r="W32" s="25" t="s">
        <v>89</v>
      </c>
      <c r="X32" s="26" t="n">
        <f aca="false">COUNTIF($L32:$W32,"P")+COUNTIF($L32:$W32,"E")+COUNTIF($L32:$W32,"N")</f>
        <v>12</v>
      </c>
      <c r="Y32" s="26" t="n">
        <f aca="false">SUMPRODUCT((COLUMN($L32:$W32)-COLUMN($L32)+1&lt;=Datos!$C$14)*(($L32:$W32="P")+($L32:$W32="E")+($L32:$W32="N")))</f>
        <v>6</v>
      </c>
      <c r="Z32" s="26" t="n">
        <f aca="false">SUMPRODUCT((COLUMN($L32:$W32)-COLUMN($L32)+1&lt;=Datos!$C$14)*($L32:$W32="E"))</f>
        <v>6</v>
      </c>
      <c r="AA32" s="27" t="n">
        <f aca="false">IF(Y32=0,"",Z32/Y32)</f>
        <v>1</v>
      </c>
      <c r="AB32" s="28" t="str">
        <f aca="false">IF(Y32=0,"",IF(AA32&gt;=Datos!$C$16,"🟢 Óptimo",IF(AA32&gt;=Datos!$C$17,"🟡 Aceptable","🔴 Crítico")))</f>
        <v>🟢 Óptimo</v>
      </c>
      <c r="AC32" s="28" t="str">
        <f aca="false">IF(X32=0,"",IF(COUNTIF($L32:$W32,"E")=X32,"✅ Cumplida",IF(Y32=0,"⏳ Por iniciar",IF(Z32&lt;Y32,"⚠️ Atrasada","▶️ Al día"))))</f>
        <v>▶️ Al día</v>
      </c>
      <c r="AD32" s="29"/>
    </row>
    <row r="33" customFormat="false" ht="31.5" hidden="false" customHeight="true" outlineLevel="0" collapsed="false">
      <c r="A33" s="21" t="n">
        <v>27</v>
      </c>
      <c r="B33" s="22" t="s">
        <v>130</v>
      </c>
      <c r="C33" s="23" t="s">
        <v>116</v>
      </c>
      <c r="D33" s="23" t="s">
        <v>216</v>
      </c>
      <c r="E33" s="23" t="s">
        <v>217</v>
      </c>
      <c r="F33" s="23" t="s">
        <v>218</v>
      </c>
      <c r="G33" s="23" t="s">
        <v>219</v>
      </c>
      <c r="H33" s="22" t="s">
        <v>195</v>
      </c>
      <c r="I33" s="24" t="n">
        <v>1200000</v>
      </c>
      <c r="J33" s="22" t="s">
        <v>146</v>
      </c>
      <c r="K33" s="23" t="s">
        <v>220</v>
      </c>
      <c r="L33" s="25" t="s">
        <v>98</v>
      </c>
      <c r="M33" s="25" t="s">
        <v>141</v>
      </c>
      <c r="N33" s="25" t="s">
        <v>98</v>
      </c>
      <c r="O33" s="25" t="s">
        <v>98</v>
      </c>
      <c r="P33" s="25" t="s">
        <v>98</v>
      </c>
      <c r="Q33" s="25" t="s">
        <v>98</v>
      </c>
      <c r="R33" s="25" t="s">
        <v>89</v>
      </c>
      <c r="S33" s="25" t="s">
        <v>89</v>
      </c>
      <c r="T33" s="25" t="s">
        <v>89</v>
      </c>
      <c r="U33" s="25" t="s">
        <v>89</v>
      </c>
      <c r="V33" s="25" t="s">
        <v>89</v>
      </c>
      <c r="W33" s="25" t="s">
        <v>89</v>
      </c>
      <c r="X33" s="26" t="n">
        <f aca="false">COUNTIF($L33:$W33,"P")+COUNTIF($L33:$W33,"E")+COUNTIF($L33:$W33,"N")</f>
        <v>12</v>
      </c>
      <c r="Y33" s="26" t="n">
        <f aca="false">SUMPRODUCT((COLUMN($L33:$W33)-COLUMN($L33)+1&lt;=Datos!$C$14)*(($L33:$W33="P")+($L33:$W33="E")+($L33:$W33="N")))</f>
        <v>6</v>
      </c>
      <c r="Z33" s="26" t="n">
        <f aca="false">SUMPRODUCT((COLUMN($L33:$W33)-COLUMN($L33)+1&lt;=Datos!$C$14)*($L33:$W33="E"))</f>
        <v>5</v>
      </c>
      <c r="AA33" s="27" t="n">
        <f aca="false">IF(Y33=0,"",Z33/Y33)</f>
        <v>0.833333333333333</v>
      </c>
      <c r="AB33" s="28" t="str">
        <f aca="false">IF(Y33=0,"",IF(AA33&gt;=Datos!$C$16,"🟢 Óptimo",IF(AA33&gt;=Datos!$C$17,"🟡 Aceptable","🔴 Crítico")))</f>
        <v>🟡 Aceptable</v>
      </c>
      <c r="AC33" s="28" t="str">
        <f aca="false">IF(X33=0,"",IF(COUNTIF($L33:$W33,"E")=X33,"✅ Cumplida",IF(Y33=0,"⏳ Por iniciar",IF(Z33&lt;Y33,"⚠️ Atrasada","▶️ Al día"))))</f>
        <v>⚠️ Atrasada</v>
      </c>
      <c r="AD33" s="29"/>
    </row>
    <row r="34" customFormat="false" ht="31.5" hidden="false" customHeight="true" outlineLevel="0" collapsed="false">
      <c r="A34" s="21" t="n">
        <v>28</v>
      </c>
      <c r="B34" s="22" t="s">
        <v>221</v>
      </c>
      <c r="C34" s="23" t="s">
        <v>222</v>
      </c>
      <c r="D34" s="23" t="s">
        <v>223</v>
      </c>
      <c r="E34" s="23" t="s">
        <v>224</v>
      </c>
      <c r="F34" s="23" t="s">
        <v>225</v>
      </c>
      <c r="G34" s="23" t="s">
        <v>101</v>
      </c>
      <c r="H34" s="22" t="s">
        <v>95</v>
      </c>
      <c r="I34" s="24" t="n">
        <v>0</v>
      </c>
      <c r="J34" s="22" t="s">
        <v>151</v>
      </c>
      <c r="K34" s="23" t="s">
        <v>226</v>
      </c>
      <c r="L34" s="25"/>
      <c r="M34" s="25"/>
      <c r="N34" s="25" t="s">
        <v>98</v>
      </c>
      <c r="O34" s="25"/>
      <c r="P34" s="25"/>
      <c r="Q34" s="25" t="s">
        <v>98</v>
      </c>
      <c r="R34" s="25"/>
      <c r="S34" s="25"/>
      <c r="T34" s="25" t="s">
        <v>89</v>
      </c>
      <c r="U34" s="25"/>
      <c r="V34" s="25"/>
      <c r="W34" s="25" t="s">
        <v>89</v>
      </c>
      <c r="X34" s="26" t="n">
        <f aca="false">COUNTIF($L34:$W34,"P")+COUNTIF($L34:$W34,"E")+COUNTIF($L34:$W34,"N")</f>
        <v>4</v>
      </c>
      <c r="Y34" s="26" t="n">
        <f aca="false">SUMPRODUCT((COLUMN($L34:$W34)-COLUMN($L34)+1&lt;=Datos!$C$14)*(($L34:$W34="P")+($L34:$W34="E")+($L34:$W34="N")))</f>
        <v>2</v>
      </c>
      <c r="Z34" s="26" t="n">
        <f aca="false">SUMPRODUCT((COLUMN($L34:$W34)-COLUMN($L34)+1&lt;=Datos!$C$14)*($L34:$W34="E"))</f>
        <v>2</v>
      </c>
      <c r="AA34" s="27" t="n">
        <f aca="false">IF(Y34=0,"",Z34/Y34)</f>
        <v>1</v>
      </c>
      <c r="AB34" s="28" t="str">
        <f aca="false">IF(Y34=0,"",IF(AA34&gt;=Datos!$C$16,"🟢 Óptimo",IF(AA34&gt;=Datos!$C$17,"🟡 Aceptable","🔴 Crítico")))</f>
        <v>🟢 Óptimo</v>
      </c>
      <c r="AC34" s="28" t="str">
        <f aca="false">IF(X34=0,"",IF(COUNTIF($L34:$W34,"E")=X34,"✅ Cumplida",IF(Y34=0,"⏳ Por iniciar",IF(Z34&lt;Y34,"⚠️ Atrasada","▶️ Al día"))))</f>
        <v>▶️ Al día</v>
      </c>
      <c r="AD34" s="29"/>
    </row>
    <row r="35" customFormat="false" ht="31.5" hidden="false" customHeight="true" outlineLevel="0" collapsed="false">
      <c r="A35" s="21" t="n">
        <v>29</v>
      </c>
      <c r="B35" s="22" t="s">
        <v>221</v>
      </c>
      <c r="C35" s="23" t="s">
        <v>222</v>
      </c>
      <c r="D35" s="23" t="s">
        <v>227</v>
      </c>
      <c r="E35" s="23" t="s">
        <v>228</v>
      </c>
      <c r="F35" s="23" t="s">
        <v>229</v>
      </c>
      <c r="G35" s="23" t="s">
        <v>230</v>
      </c>
      <c r="H35" s="22" t="s">
        <v>138</v>
      </c>
      <c r="I35" s="24" t="n">
        <v>1000000</v>
      </c>
      <c r="J35" s="22" t="s">
        <v>96</v>
      </c>
      <c r="K35" s="23" t="s">
        <v>231</v>
      </c>
      <c r="L35" s="25"/>
      <c r="M35" s="25"/>
      <c r="N35" s="25"/>
      <c r="O35" s="25"/>
      <c r="P35" s="25"/>
      <c r="Q35" s="25"/>
      <c r="R35" s="25"/>
      <c r="S35" s="25"/>
      <c r="T35" s="25" t="s">
        <v>89</v>
      </c>
      <c r="U35" s="25"/>
      <c r="V35" s="25"/>
      <c r="W35" s="25"/>
      <c r="X35" s="26" t="n">
        <f aca="false">COUNTIF($L35:$W35,"P")+COUNTIF($L35:$W35,"E")+COUNTIF($L35:$W35,"N")</f>
        <v>1</v>
      </c>
      <c r="Y35" s="26" t="n">
        <f aca="false">SUMPRODUCT((COLUMN($L35:$W35)-COLUMN($L35)+1&lt;=Datos!$C$14)*(($L35:$W35="P")+($L35:$W35="E")+($L35:$W35="N")))</f>
        <v>0</v>
      </c>
      <c r="Z35" s="26" t="n">
        <f aca="false">SUMPRODUCT((COLUMN($L35:$W35)-COLUMN($L35)+1&lt;=Datos!$C$14)*($L35:$W35="E"))</f>
        <v>0</v>
      </c>
      <c r="AA35" s="27" t="str">
        <f aca="false">IF(Y35=0,"",Z35/Y35)</f>
        <v/>
      </c>
      <c r="AB35" s="28" t="str">
        <f aca="false">IF(Y35=0,"",IF(AA35&gt;=Datos!$C$16,"🟢 Óptimo",IF(AA35&gt;=Datos!$C$17,"🟡 Aceptable","🔴 Crítico")))</f>
        <v/>
      </c>
      <c r="AC35" s="28" t="str">
        <f aca="false">IF(X35=0,"",IF(COUNTIF($L35:$W35,"E")=X35,"✅ Cumplida",IF(Y35=0,"⏳ Por iniciar",IF(Z35&lt;Y35,"⚠️ Atrasada","▶️ Al día"))))</f>
        <v>⏳ Por iniciar</v>
      </c>
      <c r="AD35" s="29"/>
    </row>
    <row r="36" customFormat="false" ht="31.5" hidden="false" customHeight="true" outlineLevel="0" collapsed="false">
      <c r="A36" s="21" t="n">
        <v>30</v>
      </c>
      <c r="B36" s="22" t="s">
        <v>221</v>
      </c>
      <c r="C36" s="23" t="s">
        <v>222</v>
      </c>
      <c r="D36" s="23" t="s">
        <v>232</v>
      </c>
      <c r="E36" s="23" t="s">
        <v>233</v>
      </c>
      <c r="F36" s="23" t="s">
        <v>234</v>
      </c>
      <c r="G36" s="23" t="s">
        <v>94</v>
      </c>
      <c r="H36" s="22" t="s">
        <v>95</v>
      </c>
      <c r="I36" s="24" t="n">
        <v>0</v>
      </c>
      <c r="J36" s="22" t="s">
        <v>96</v>
      </c>
      <c r="K36" s="23" t="s">
        <v>235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 t="s">
        <v>89</v>
      </c>
      <c r="W36" s="25"/>
      <c r="X36" s="26" t="n">
        <f aca="false">COUNTIF($L36:$W36,"P")+COUNTIF($L36:$W36,"E")+COUNTIF($L36:$W36,"N")</f>
        <v>1</v>
      </c>
      <c r="Y36" s="26" t="n">
        <f aca="false">SUMPRODUCT((COLUMN($L36:$W36)-COLUMN($L36)+1&lt;=Datos!$C$14)*(($L36:$W36="P")+($L36:$W36="E")+($L36:$W36="N")))</f>
        <v>0</v>
      </c>
      <c r="Z36" s="26" t="n">
        <f aca="false">SUMPRODUCT((COLUMN($L36:$W36)-COLUMN($L36)+1&lt;=Datos!$C$14)*($L36:$W36="E"))</f>
        <v>0</v>
      </c>
      <c r="AA36" s="27" t="str">
        <f aca="false">IF(Y36=0,"",Z36/Y36)</f>
        <v/>
      </c>
      <c r="AB36" s="28" t="str">
        <f aca="false">IF(Y36=0,"",IF(AA36&gt;=Datos!$C$16,"🟢 Óptimo",IF(AA36&gt;=Datos!$C$17,"🟡 Aceptable","🔴 Crítico")))</f>
        <v/>
      </c>
      <c r="AC36" s="28" t="str">
        <f aca="false">IF(X36=0,"",IF(COUNTIF($L36:$W36,"E")=X36,"✅ Cumplida",IF(Y36=0,"⏳ Por iniciar",IF(Z36&lt;Y36,"⚠️ Atrasada","▶️ Al día"))))</f>
        <v>⏳ Por iniciar</v>
      </c>
      <c r="AD36" s="29"/>
    </row>
    <row r="37" customFormat="false" ht="31.5" hidden="false" customHeight="true" outlineLevel="0" collapsed="false">
      <c r="A37" s="21" t="n">
        <v>31</v>
      </c>
      <c r="B37" s="22" t="s">
        <v>103</v>
      </c>
      <c r="C37" s="23" t="s">
        <v>104</v>
      </c>
      <c r="D37" s="23" t="s">
        <v>236</v>
      </c>
      <c r="E37" s="23" t="s">
        <v>237</v>
      </c>
      <c r="F37" s="23" t="s">
        <v>238</v>
      </c>
      <c r="G37" s="23" t="s">
        <v>101</v>
      </c>
      <c r="H37" s="22" t="s">
        <v>95</v>
      </c>
      <c r="I37" s="24" t="n">
        <v>0</v>
      </c>
      <c r="J37" s="22" t="s">
        <v>151</v>
      </c>
      <c r="K37" s="23" t="s">
        <v>239</v>
      </c>
      <c r="L37" s="25"/>
      <c r="M37" s="25"/>
      <c r="N37" s="25"/>
      <c r="O37" s="25" t="s">
        <v>98</v>
      </c>
      <c r="P37" s="25"/>
      <c r="Q37" s="25"/>
      <c r="R37" s="25"/>
      <c r="S37" s="25" t="s">
        <v>89</v>
      </c>
      <c r="T37" s="25"/>
      <c r="U37" s="25"/>
      <c r="V37" s="25"/>
      <c r="W37" s="25" t="s">
        <v>89</v>
      </c>
      <c r="X37" s="26" t="n">
        <f aca="false">COUNTIF($L37:$W37,"P")+COUNTIF($L37:$W37,"E")+COUNTIF($L37:$W37,"N")</f>
        <v>3</v>
      </c>
      <c r="Y37" s="26" t="n">
        <f aca="false">SUMPRODUCT((COLUMN($L37:$W37)-COLUMN($L37)+1&lt;=Datos!$C$14)*(($L37:$W37="P")+($L37:$W37="E")+($L37:$W37="N")))</f>
        <v>1</v>
      </c>
      <c r="Z37" s="26" t="n">
        <f aca="false">SUMPRODUCT((COLUMN($L37:$W37)-COLUMN($L37)+1&lt;=Datos!$C$14)*($L37:$W37="E"))</f>
        <v>1</v>
      </c>
      <c r="AA37" s="27" t="n">
        <f aca="false">IF(Y37=0,"",Z37/Y37)</f>
        <v>1</v>
      </c>
      <c r="AB37" s="28" t="str">
        <f aca="false">IF(Y37=0,"",IF(AA37&gt;=Datos!$C$16,"🟢 Óptimo",IF(AA37&gt;=Datos!$C$17,"🟡 Aceptable","🔴 Crítico")))</f>
        <v>🟢 Óptimo</v>
      </c>
      <c r="AC37" s="28" t="str">
        <f aca="false">IF(X37=0,"",IF(COUNTIF($L37:$W37,"E")=X37,"✅ Cumplida",IF(Y37=0,"⏳ Por iniciar",IF(Z37&lt;Y37,"⚠️ Atrasada","▶️ Al día"))))</f>
        <v>▶️ Al día</v>
      </c>
      <c r="AD37" s="29"/>
    </row>
    <row r="38" customFormat="false" ht="31.5" hidden="false" customHeight="true" outlineLevel="0" collapsed="false">
      <c r="A38" s="21" t="n">
        <v>32</v>
      </c>
      <c r="B38" s="22" t="s">
        <v>103</v>
      </c>
      <c r="C38" s="23" t="s">
        <v>90</v>
      </c>
      <c r="D38" s="23" t="s">
        <v>91</v>
      </c>
      <c r="E38" s="23" t="s">
        <v>240</v>
      </c>
      <c r="F38" s="23" t="s">
        <v>241</v>
      </c>
      <c r="G38" s="23" t="s">
        <v>94</v>
      </c>
      <c r="H38" s="22" t="s">
        <v>95</v>
      </c>
      <c r="I38" s="24" t="n">
        <v>0</v>
      </c>
      <c r="J38" s="22" t="s">
        <v>96</v>
      </c>
      <c r="K38" s="23" t="s">
        <v>242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 t="s">
        <v>89</v>
      </c>
      <c r="X38" s="26" t="n">
        <f aca="false">COUNTIF($L38:$W38,"P")+COUNTIF($L38:$W38,"E")+COUNTIF($L38:$W38,"N")</f>
        <v>1</v>
      </c>
      <c r="Y38" s="26" t="n">
        <f aca="false">SUMPRODUCT((COLUMN($L38:$W38)-COLUMN($L38)+1&lt;=Datos!$C$14)*(($L38:$W38="P")+($L38:$W38="E")+($L38:$W38="N")))</f>
        <v>0</v>
      </c>
      <c r="Z38" s="26" t="n">
        <f aca="false">SUMPRODUCT((COLUMN($L38:$W38)-COLUMN($L38)+1&lt;=Datos!$C$14)*($L38:$W38="E"))</f>
        <v>0</v>
      </c>
      <c r="AA38" s="27" t="str">
        <f aca="false">IF(Y38=0,"",Z38/Y38)</f>
        <v/>
      </c>
      <c r="AB38" s="28" t="str">
        <f aca="false">IF(Y38=0,"",IF(AA38&gt;=Datos!$C$16,"🟢 Óptimo",IF(AA38&gt;=Datos!$C$17,"🟡 Aceptable","🔴 Crítico")))</f>
        <v/>
      </c>
      <c r="AC38" s="28" t="str">
        <f aca="false">IF(X38=0,"",IF(COUNTIF($L38:$W38,"E")=X38,"✅ Cumplida",IF(Y38=0,"⏳ Por iniciar",IF(Z38&lt;Y38,"⚠️ Atrasada","▶️ Al día"))))</f>
        <v>⏳ Por iniciar</v>
      </c>
      <c r="AD38" s="29"/>
    </row>
    <row r="39" customFormat="false" ht="31.5" hidden="false" customHeight="true" outlineLevel="0" collapsed="false">
      <c r="A39" s="21" t="n">
        <v>33</v>
      </c>
      <c r="B39" s="22"/>
      <c r="C39" s="23"/>
      <c r="D39" s="23"/>
      <c r="E39" s="23"/>
      <c r="F39" s="23"/>
      <c r="G39" s="23"/>
      <c r="H39" s="22"/>
      <c r="I39" s="24"/>
      <c r="J39" s="22"/>
      <c r="K39" s="23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 t="n">
        <f aca="false">COUNTIF($L39:$W39,"P")+COUNTIF($L39:$W39,"E")+COUNTIF($L39:$W39,"N")</f>
        <v>0</v>
      </c>
      <c r="Y39" s="26" t="n">
        <f aca="false">SUMPRODUCT((COLUMN($L39:$W39)-COLUMN($L39)+1&lt;=Datos!$C$14)*(($L39:$W39="P")+($L39:$W39="E")+($L39:$W39="N")))</f>
        <v>0</v>
      </c>
      <c r="Z39" s="26" t="n">
        <f aca="false">SUMPRODUCT((COLUMN($L39:$W39)-COLUMN($L39)+1&lt;=Datos!$C$14)*($L39:$W39="E"))</f>
        <v>0</v>
      </c>
      <c r="AA39" s="27" t="str">
        <f aca="false">IF(Y39=0,"",Z39/Y39)</f>
        <v/>
      </c>
      <c r="AB39" s="28" t="str">
        <f aca="false">IF(Y39=0,"",IF(AA39&gt;=Datos!$C$16,"🟢 Óptimo",IF(AA39&gt;=Datos!$C$17,"🟡 Aceptable","🔴 Crítico")))</f>
        <v/>
      </c>
      <c r="AC39" s="28" t="str">
        <f aca="false">IF(X39=0,"",IF(COUNTIF($L39:$W39,"E")=X39,"✅ Cumplida",IF(Y39=0,"⏳ Por iniciar",IF(Z39&lt;Y39,"⚠️ Atrasada","▶️ Al día"))))</f>
        <v/>
      </c>
      <c r="AD39" s="29"/>
    </row>
    <row r="40" customFormat="false" ht="31.5" hidden="false" customHeight="true" outlineLevel="0" collapsed="false">
      <c r="A40" s="21" t="n">
        <v>34</v>
      </c>
      <c r="B40" s="22"/>
      <c r="C40" s="23"/>
      <c r="D40" s="23"/>
      <c r="E40" s="23"/>
      <c r="F40" s="23"/>
      <c r="G40" s="23"/>
      <c r="H40" s="22"/>
      <c r="I40" s="24"/>
      <c r="J40" s="22"/>
      <c r="K40" s="23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 t="n">
        <f aca="false">COUNTIF($L40:$W40,"P")+COUNTIF($L40:$W40,"E")+COUNTIF($L40:$W40,"N")</f>
        <v>0</v>
      </c>
      <c r="Y40" s="26" t="n">
        <f aca="false">SUMPRODUCT((COLUMN($L40:$W40)-COLUMN($L40)+1&lt;=Datos!$C$14)*(($L40:$W40="P")+($L40:$W40="E")+($L40:$W40="N")))</f>
        <v>0</v>
      </c>
      <c r="Z40" s="26" t="n">
        <f aca="false">SUMPRODUCT((COLUMN($L40:$W40)-COLUMN($L40)+1&lt;=Datos!$C$14)*($L40:$W40="E"))</f>
        <v>0</v>
      </c>
      <c r="AA40" s="27" t="str">
        <f aca="false">IF(Y40=0,"",Z40/Y40)</f>
        <v/>
      </c>
      <c r="AB40" s="28" t="str">
        <f aca="false">IF(Y40=0,"",IF(AA40&gt;=Datos!$C$16,"🟢 Óptimo",IF(AA40&gt;=Datos!$C$17,"🟡 Aceptable","🔴 Crítico")))</f>
        <v/>
      </c>
      <c r="AC40" s="28" t="str">
        <f aca="false">IF(X40=0,"",IF(COUNTIF($L40:$W40,"E")=X40,"✅ Cumplida",IF(Y40=0,"⏳ Por iniciar",IF(Z40&lt;Y40,"⚠️ Atrasada","▶️ Al día"))))</f>
        <v/>
      </c>
      <c r="AD40" s="29"/>
    </row>
    <row r="41" customFormat="false" ht="31.5" hidden="false" customHeight="true" outlineLevel="0" collapsed="false">
      <c r="A41" s="21" t="n">
        <v>35</v>
      </c>
      <c r="B41" s="22"/>
      <c r="C41" s="23"/>
      <c r="D41" s="23"/>
      <c r="E41" s="23"/>
      <c r="F41" s="23"/>
      <c r="G41" s="23"/>
      <c r="H41" s="22"/>
      <c r="I41" s="24"/>
      <c r="J41" s="22"/>
      <c r="K41" s="23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6" t="n">
        <f aca="false">COUNTIF($L41:$W41,"P")+COUNTIF($L41:$W41,"E")+COUNTIF($L41:$W41,"N")</f>
        <v>0</v>
      </c>
      <c r="Y41" s="26" t="n">
        <f aca="false">SUMPRODUCT((COLUMN($L41:$W41)-COLUMN($L41)+1&lt;=Datos!$C$14)*(($L41:$W41="P")+($L41:$W41="E")+($L41:$W41="N")))</f>
        <v>0</v>
      </c>
      <c r="Z41" s="26" t="n">
        <f aca="false">SUMPRODUCT((COLUMN($L41:$W41)-COLUMN($L41)+1&lt;=Datos!$C$14)*($L41:$W41="E"))</f>
        <v>0</v>
      </c>
      <c r="AA41" s="27" t="str">
        <f aca="false">IF(Y41=0,"",Z41/Y41)</f>
        <v/>
      </c>
      <c r="AB41" s="28" t="str">
        <f aca="false">IF(Y41=0,"",IF(AA41&gt;=Datos!$C$16,"🟢 Óptimo",IF(AA41&gt;=Datos!$C$17,"🟡 Aceptable","🔴 Crítico")))</f>
        <v/>
      </c>
      <c r="AC41" s="28" t="str">
        <f aca="false">IF(X41=0,"",IF(COUNTIF($L41:$W41,"E")=X41,"✅ Cumplida",IF(Y41=0,"⏳ Por iniciar",IF(Z41&lt;Y41,"⚠️ Atrasada","▶️ Al día"))))</f>
        <v/>
      </c>
      <c r="AD41" s="29"/>
    </row>
    <row r="42" customFormat="false" ht="31.5" hidden="false" customHeight="true" outlineLevel="0" collapsed="false">
      <c r="A42" s="21" t="n">
        <v>36</v>
      </c>
      <c r="B42" s="22"/>
      <c r="C42" s="23"/>
      <c r="D42" s="23"/>
      <c r="E42" s="23"/>
      <c r="F42" s="23"/>
      <c r="G42" s="23"/>
      <c r="H42" s="22"/>
      <c r="I42" s="24"/>
      <c r="J42" s="22"/>
      <c r="K42" s="23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6" t="n">
        <f aca="false">COUNTIF($L42:$W42,"P")+COUNTIF($L42:$W42,"E")+COUNTIF($L42:$W42,"N")</f>
        <v>0</v>
      </c>
      <c r="Y42" s="26" t="n">
        <f aca="false">SUMPRODUCT((COLUMN($L42:$W42)-COLUMN($L42)+1&lt;=Datos!$C$14)*(($L42:$W42="P")+($L42:$W42="E")+($L42:$W42="N")))</f>
        <v>0</v>
      </c>
      <c r="Z42" s="26" t="n">
        <f aca="false">SUMPRODUCT((COLUMN($L42:$W42)-COLUMN($L42)+1&lt;=Datos!$C$14)*($L42:$W42="E"))</f>
        <v>0</v>
      </c>
      <c r="AA42" s="27" t="str">
        <f aca="false">IF(Y42=0,"",Z42/Y42)</f>
        <v/>
      </c>
      <c r="AB42" s="28" t="str">
        <f aca="false">IF(Y42=0,"",IF(AA42&gt;=Datos!$C$16,"🟢 Óptimo",IF(AA42&gt;=Datos!$C$17,"🟡 Aceptable","🔴 Crítico")))</f>
        <v/>
      </c>
      <c r="AC42" s="28" t="str">
        <f aca="false">IF(X42=0,"",IF(COUNTIF($L42:$W42,"E")=X42,"✅ Cumplida",IF(Y42=0,"⏳ Por iniciar",IF(Z42&lt;Y42,"⚠️ Atrasada","▶️ Al día"))))</f>
        <v/>
      </c>
      <c r="AD42" s="29"/>
    </row>
    <row r="43" customFormat="false" ht="31.5" hidden="false" customHeight="true" outlineLevel="0" collapsed="false">
      <c r="A43" s="21" t="n">
        <v>37</v>
      </c>
      <c r="B43" s="22"/>
      <c r="C43" s="23"/>
      <c r="D43" s="23"/>
      <c r="E43" s="23"/>
      <c r="F43" s="23"/>
      <c r="G43" s="23"/>
      <c r="H43" s="22"/>
      <c r="I43" s="24"/>
      <c r="J43" s="22"/>
      <c r="K43" s="23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6" t="n">
        <f aca="false">COUNTIF($L43:$W43,"P")+COUNTIF($L43:$W43,"E")+COUNTIF($L43:$W43,"N")</f>
        <v>0</v>
      </c>
      <c r="Y43" s="26" t="n">
        <f aca="false">SUMPRODUCT((COLUMN($L43:$W43)-COLUMN($L43)+1&lt;=Datos!$C$14)*(($L43:$W43="P")+($L43:$W43="E")+($L43:$W43="N")))</f>
        <v>0</v>
      </c>
      <c r="Z43" s="26" t="n">
        <f aca="false">SUMPRODUCT((COLUMN($L43:$W43)-COLUMN($L43)+1&lt;=Datos!$C$14)*($L43:$W43="E"))</f>
        <v>0</v>
      </c>
      <c r="AA43" s="27" t="str">
        <f aca="false">IF(Y43=0,"",Z43/Y43)</f>
        <v/>
      </c>
      <c r="AB43" s="28" t="str">
        <f aca="false">IF(Y43=0,"",IF(AA43&gt;=Datos!$C$16,"🟢 Óptimo",IF(AA43&gt;=Datos!$C$17,"🟡 Aceptable","🔴 Crítico")))</f>
        <v/>
      </c>
      <c r="AC43" s="28" t="str">
        <f aca="false">IF(X43=0,"",IF(COUNTIF($L43:$W43,"E")=X43,"✅ Cumplida",IF(Y43=0,"⏳ Por iniciar",IF(Z43&lt;Y43,"⚠️ Atrasada","▶️ Al día"))))</f>
        <v/>
      </c>
      <c r="AD43" s="29"/>
    </row>
    <row r="44" customFormat="false" ht="31.5" hidden="false" customHeight="true" outlineLevel="0" collapsed="false">
      <c r="A44" s="21" t="n">
        <v>38</v>
      </c>
      <c r="B44" s="22"/>
      <c r="C44" s="23"/>
      <c r="D44" s="23"/>
      <c r="E44" s="23"/>
      <c r="F44" s="23"/>
      <c r="G44" s="23"/>
      <c r="H44" s="22"/>
      <c r="I44" s="24"/>
      <c r="J44" s="22"/>
      <c r="K44" s="23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6" t="n">
        <f aca="false">COUNTIF($L44:$W44,"P")+COUNTIF($L44:$W44,"E")+COUNTIF($L44:$W44,"N")</f>
        <v>0</v>
      </c>
      <c r="Y44" s="26" t="n">
        <f aca="false">SUMPRODUCT((COLUMN($L44:$W44)-COLUMN($L44)+1&lt;=Datos!$C$14)*(($L44:$W44="P")+($L44:$W44="E")+($L44:$W44="N")))</f>
        <v>0</v>
      </c>
      <c r="Z44" s="26" t="n">
        <f aca="false">SUMPRODUCT((COLUMN($L44:$W44)-COLUMN($L44)+1&lt;=Datos!$C$14)*($L44:$W44="E"))</f>
        <v>0</v>
      </c>
      <c r="AA44" s="27" t="str">
        <f aca="false">IF(Y44=0,"",Z44/Y44)</f>
        <v/>
      </c>
      <c r="AB44" s="28" t="str">
        <f aca="false">IF(Y44=0,"",IF(AA44&gt;=Datos!$C$16,"🟢 Óptimo",IF(AA44&gt;=Datos!$C$17,"🟡 Aceptable","🔴 Crítico")))</f>
        <v/>
      </c>
      <c r="AC44" s="28" t="str">
        <f aca="false">IF(X44=0,"",IF(COUNTIF($L44:$W44,"E")=X44,"✅ Cumplida",IF(Y44=0,"⏳ Por iniciar",IF(Z44&lt;Y44,"⚠️ Atrasada","▶️ Al día"))))</f>
        <v/>
      </c>
      <c r="AD44" s="29"/>
    </row>
    <row r="45" customFormat="false" ht="31.5" hidden="false" customHeight="true" outlineLevel="0" collapsed="false">
      <c r="A45" s="21" t="n">
        <v>39</v>
      </c>
      <c r="B45" s="22"/>
      <c r="C45" s="23"/>
      <c r="D45" s="23"/>
      <c r="E45" s="23"/>
      <c r="F45" s="23"/>
      <c r="G45" s="23"/>
      <c r="H45" s="22"/>
      <c r="I45" s="24"/>
      <c r="J45" s="22"/>
      <c r="K45" s="23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6" t="n">
        <f aca="false">COUNTIF($L45:$W45,"P")+COUNTIF($L45:$W45,"E")+COUNTIF($L45:$W45,"N")</f>
        <v>0</v>
      </c>
      <c r="Y45" s="26" t="n">
        <f aca="false">SUMPRODUCT((COLUMN($L45:$W45)-COLUMN($L45)+1&lt;=Datos!$C$14)*(($L45:$W45="P")+($L45:$W45="E")+($L45:$W45="N")))</f>
        <v>0</v>
      </c>
      <c r="Z45" s="26" t="n">
        <f aca="false">SUMPRODUCT((COLUMN($L45:$W45)-COLUMN($L45)+1&lt;=Datos!$C$14)*($L45:$W45="E"))</f>
        <v>0</v>
      </c>
      <c r="AA45" s="27" t="str">
        <f aca="false">IF(Y45=0,"",Z45/Y45)</f>
        <v/>
      </c>
      <c r="AB45" s="28" t="str">
        <f aca="false">IF(Y45=0,"",IF(AA45&gt;=Datos!$C$16,"🟢 Óptimo",IF(AA45&gt;=Datos!$C$17,"🟡 Aceptable","🔴 Crítico")))</f>
        <v/>
      </c>
      <c r="AC45" s="28" t="str">
        <f aca="false">IF(X45=0,"",IF(COUNTIF($L45:$W45,"E")=X45,"✅ Cumplida",IF(Y45=0,"⏳ Por iniciar",IF(Z45&lt;Y45,"⚠️ Atrasada","▶️ Al día"))))</f>
        <v/>
      </c>
      <c r="AD45" s="29"/>
    </row>
    <row r="46" customFormat="false" ht="31.5" hidden="false" customHeight="true" outlineLevel="0" collapsed="false">
      <c r="A46" s="21" t="n">
        <v>40</v>
      </c>
      <c r="B46" s="22"/>
      <c r="C46" s="23"/>
      <c r="D46" s="23"/>
      <c r="E46" s="23"/>
      <c r="F46" s="23"/>
      <c r="G46" s="23"/>
      <c r="H46" s="22"/>
      <c r="I46" s="24"/>
      <c r="J46" s="22"/>
      <c r="K46" s="23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6" t="n">
        <f aca="false">COUNTIF($L46:$W46,"P")+COUNTIF($L46:$W46,"E")+COUNTIF($L46:$W46,"N")</f>
        <v>0</v>
      </c>
      <c r="Y46" s="26" t="n">
        <f aca="false">SUMPRODUCT((COLUMN($L46:$W46)-COLUMN($L46)+1&lt;=Datos!$C$14)*(($L46:$W46="P")+($L46:$W46="E")+($L46:$W46="N")))</f>
        <v>0</v>
      </c>
      <c r="Z46" s="26" t="n">
        <f aca="false">SUMPRODUCT((COLUMN($L46:$W46)-COLUMN($L46)+1&lt;=Datos!$C$14)*($L46:$W46="E"))</f>
        <v>0</v>
      </c>
      <c r="AA46" s="27" t="str">
        <f aca="false">IF(Y46=0,"",Z46/Y46)</f>
        <v/>
      </c>
      <c r="AB46" s="28" t="str">
        <f aca="false">IF(Y46=0,"",IF(AA46&gt;=Datos!$C$16,"🟢 Óptimo",IF(AA46&gt;=Datos!$C$17,"🟡 Aceptable","🔴 Crítico")))</f>
        <v/>
      </c>
      <c r="AC46" s="28" t="str">
        <f aca="false">IF(X46=0,"",IF(COUNTIF($L46:$W46,"E")=X46,"✅ Cumplida",IF(Y46=0,"⏳ Por iniciar",IF(Z46&lt;Y46,"⚠️ Atrasada","▶️ Al día"))))</f>
        <v/>
      </c>
      <c r="AD46" s="29"/>
    </row>
    <row r="47" customFormat="false" ht="31.5" hidden="false" customHeight="true" outlineLevel="0" collapsed="false">
      <c r="A47" s="21" t="n">
        <v>41</v>
      </c>
      <c r="B47" s="22"/>
      <c r="C47" s="23"/>
      <c r="D47" s="23"/>
      <c r="E47" s="23"/>
      <c r="F47" s="23"/>
      <c r="G47" s="23"/>
      <c r="H47" s="22"/>
      <c r="I47" s="24"/>
      <c r="J47" s="22"/>
      <c r="K47" s="23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6" t="n">
        <f aca="false">COUNTIF($L47:$W47,"P")+COUNTIF($L47:$W47,"E")+COUNTIF($L47:$W47,"N")</f>
        <v>0</v>
      </c>
      <c r="Y47" s="26" t="n">
        <f aca="false">SUMPRODUCT((COLUMN($L47:$W47)-COLUMN($L47)+1&lt;=Datos!$C$14)*(($L47:$W47="P")+($L47:$W47="E")+($L47:$W47="N")))</f>
        <v>0</v>
      </c>
      <c r="Z47" s="26" t="n">
        <f aca="false">SUMPRODUCT((COLUMN($L47:$W47)-COLUMN($L47)+1&lt;=Datos!$C$14)*($L47:$W47="E"))</f>
        <v>0</v>
      </c>
      <c r="AA47" s="27" t="str">
        <f aca="false">IF(Y47=0,"",Z47/Y47)</f>
        <v/>
      </c>
      <c r="AB47" s="28" t="str">
        <f aca="false">IF(Y47=0,"",IF(AA47&gt;=Datos!$C$16,"🟢 Óptimo",IF(AA47&gt;=Datos!$C$17,"🟡 Aceptable","🔴 Crítico")))</f>
        <v/>
      </c>
      <c r="AC47" s="28" t="str">
        <f aca="false">IF(X47=0,"",IF(COUNTIF($L47:$W47,"E")=X47,"✅ Cumplida",IF(Y47=0,"⏳ Por iniciar",IF(Z47&lt;Y47,"⚠️ Atrasada","▶️ Al día"))))</f>
        <v/>
      </c>
      <c r="AD47" s="29"/>
    </row>
    <row r="48" customFormat="false" ht="31.5" hidden="false" customHeight="true" outlineLevel="0" collapsed="false">
      <c r="A48" s="21" t="n">
        <v>42</v>
      </c>
      <c r="B48" s="22"/>
      <c r="C48" s="23"/>
      <c r="D48" s="23"/>
      <c r="E48" s="23"/>
      <c r="F48" s="23"/>
      <c r="G48" s="23"/>
      <c r="H48" s="22"/>
      <c r="I48" s="24"/>
      <c r="J48" s="22"/>
      <c r="K48" s="23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6" t="n">
        <f aca="false">COUNTIF($L48:$W48,"P")+COUNTIF($L48:$W48,"E")+COUNTIF($L48:$W48,"N")</f>
        <v>0</v>
      </c>
      <c r="Y48" s="26" t="n">
        <f aca="false">SUMPRODUCT((COLUMN($L48:$W48)-COLUMN($L48)+1&lt;=Datos!$C$14)*(($L48:$W48="P")+($L48:$W48="E")+($L48:$W48="N")))</f>
        <v>0</v>
      </c>
      <c r="Z48" s="26" t="n">
        <f aca="false">SUMPRODUCT((COLUMN($L48:$W48)-COLUMN($L48)+1&lt;=Datos!$C$14)*($L48:$W48="E"))</f>
        <v>0</v>
      </c>
      <c r="AA48" s="27" t="str">
        <f aca="false">IF(Y48=0,"",Z48/Y48)</f>
        <v/>
      </c>
      <c r="AB48" s="28" t="str">
        <f aca="false">IF(Y48=0,"",IF(AA48&gt;=Datos!$C$16,"🟢 Óptimo",IF(AA48&gt;=Datos!$C$17,"🟡 Aceptable","🔴 Crítico")))</f>
        <v/>
      </c>
      <c r="AC48" s="28" t="str">
        <f aca="false">IF(X48=0,"",IF(COUNTIF($L48:$W48,"E")=X48,"✅ Cumplida",IF(Y48=0,"⏳ Por iniciar",IF(Z48&lt;Y48,"⚠️ Atrasada","▶️ Al día"))))</f>
        <v/>
      </c>
      <c r="AD48" s="29"/>
    </row>
    <row r="49" customFormat="false" ht="31.5" hidden="false" customHeight="true" outlineLevel="0" collapsed="false">
      <c r="A49" s="21" t="n">
        <v>43</v>
      </c>
      <c r="B49" s="22"/>
      <c r="C49" s="23"/>
      <c r="D49" s="23"/>
      <c r="E49" s="23"/>
      <c r="F49" s="23"/>
      <c r="G49" s="23"/>
      <c r="H49" s="22"/>
      <c r="I49" s="24"/>
      <c r="J49" s="22"/>
      <c r="K49" s="23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6" t="n">
        <f aca="false">COUNTIF($L49:$W49,"P")+COUNTIF($L49:$W49,"E")+COUNTIF($L49:$W49,"N")</f>
        <v>0</v>
      </c>
      <c r="Y49" s="26" t="n">
        <f aca="false">SUMPRODUCT((COLUMN($L49:$W49)-COLUMN($L49)+1&lt;=Datos!$C$14)*(($L49:$W49="P")+($L49:$W49="E")+($L49:$W49="N")))</f>
        <v>0</v>
      </c>
      <c r="Z49" s="26" t="n">
        <f aca="false">SUMPRODUCT((COLUMN($L49:$W49)-COLUMN($L49)+1&lt;=Datos!$C$14)*($L49:$W49="E"))</f>
        <v>0</v>
      </c>
      <c r="AA49" s="27" t="str">
        <f aca="false">IF(Y49=0,"",Z49/Y49)</f>
        <v/>
      </c>
      <c r="AB49" s="28" t="str">
        <f aca="false">IF(Y49=0,"",IF(AA49&gt;=Datos!$C$16,"🟢 Óptimo",IF(AA49&gt;=Datos!$C$17,"🟡 Aceptable","🔴 Crítico")))</f>
        <v/>
      </c>
      <c r="AC49" s="28" t="str">
        <f aca="false">IF(X49=0,"",IF(COUNTIF($L49:$W49,"E")=X49,"✅ Cumplida",IF(Y49=0,"⏳ Por iniciar",IF(Z49&lt;Y49,"⚠️ Atrasada","▶️ Al día"))))</f>
        <v/>
      </c>
      <c r="AD49" s="29"/>
    </row>
    <row r="50" customFormat="false" ht="31.5" hidden="false" customHeight="true" outlineLevel="0" collapsed="false">
      <c r="A50" s="21" t="n">
        <v>44</v>
      </c>
      <c r="B50" s="22"/>
      <c r="C50" s="23"/>
      <c r="D50" s="23"/>
      <c r="E50" s="23"/>
      <c r="F50" s="23"/>
      <c r="G50" s="23"/>
      <c r="H50" s="22"/>
      <c r="I50" s="24"/>
      <c r="J50" s="22"/>
      <c r="K50" s="23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6" t="n">
        <f aca="false">COUNTIF($L50:$W50,"P")+COUNTIF($L50:$W50,"E")+COUNTIF($L50:$W50,"N")</f>
        <v>0</v>
      </c>
      <c r="Y50" s="26" t="n">
        <f aca="false">SUMPRODUCT((COLUMN($L50:$W50)-COLUMN($L50)+1&lt;=Datos!$C$14)*(($L50:$W50="P")+($L50:$W50="E")+($L50:$W50="N")))</f>
        <v>0</v>
      </c>
      <c r="Z50" s="26" t="n">
        <f aca="false">SUMPRODUCT((COLUMN($L50:$W50)-COLUMN($L50)+1&lt;=Datos!$C$14)*($L50:$W50="E"))</f>
        <v>0</v>
      </c>
      <c r="AA50" s="27" t="str">
        <f aca="false">IF(Y50=0,"",Z50/Y50)</f>
        <v/>
      </c>
      <c r="AB50" s="28" t="str">
        <f aca="false">IF(Y50=0,"",IF(AA50&gt;=Datos!$C$16,"🟢 Óptimo",IF(AA50&gt;=Datos!$C$17,"🟡 Aceptable","🔴 Crítico")))</f>
        <v/>
      </c>
      <c r="AC50" s="28" t="str">
        <f aca="false">IF(X50=0,"",IF(COUNTIF($L50:$W50,"E")=X50,"✅ Cumplida",IF(Y50=0,"⏳ Por iniciar",IF(Z50&lt;Y50,"⚠️ Atrasada","▶️ Al día"))))</f>
        <v/>
      </c>
      <c r="AD50" s="29"/>
    </row>
    <row r="51" customFormat="false" ht="31.5" hidden="false" customHeight="true" outlineLevel="0" collapsed="false">
      <c r="A51" s="21" t="n">
        <v>45</v>
      </c>
      <c r="B51" s="22"/>
      <c r="C51" s="23"/>
      <c r="D51" s="23"/>
      <c r="E51" s="23"/>
      <c r="F51" s="23"/>
      <c r="G51" s="23"/>
      <c r="H51" s="22"/>
      <c r="I51" s="24"/>
      <c r="J51" s="22"/>
      <c r="K51" s="23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6" t="n">
        <f aca="false">COUNTIF($L51:$W51,"P")+COUNTIF($L51:$W51,"E")+COUNTIF($L51:$W51,"N")</f>
        <v>0</v>
      </c>
      <c r="Y51" s="26" t="n">
        <f aca="false">SUMPRODUCT((COLUMN($L51:$W51)-COLUMN($L51)+1&lt;=Datos!$C$14)*(($L51:$W51="P")+($L51:$W51="E")+($L51:$W51="N")))</f>
        <v>0</v>
      </c>
      <c r="Z51" s="26" t="n">
        <f aca="false">SUMPRODUCT((COLUMN($L51:$W51)-COLUMN($L51)+1&lt;=Datos!$C$14)*($L51:$W51="E"))</f>
        <v>0</v>
      </c>
      <c r="AA51" s="27" t="str">
        <f aca="false">IF(Y51=0,"",Z51/Y51)</f>
        <v/>
      </c>
      <c r="AB51" s="28" t="str">
        <f aca="false">IF(Y51=0,"",IF(AA51&gt;=Datos!$C$16,"🟢 Óptimo",IF(AA51&gt;=Datos!$C$17,"🟡 Aceptable","🔴 Crítico")))</f>
        <v/>
      </c>
      <c r="AC51" s="28" t="str">
        <f aca="false">IF(X51=0,"",IF(COUNTIF($L51:$W51,"E")=X51,"✅ Cumplida",IF(Y51=0,"⏳ Por iniciar",IF(Z51&lt;Y51,"⚠️ Atrasada","▶️ Al día"))))</f>
        <v/>
      </c>
      <c r="AD51" s="29"/>
    </row>
    <row r="52" customFormat="false" ht="31.5" hidden="false" customHeight="true" outlineLevel="0" collapsed="false">
      <c r="A52" s="21" t="n">
        <v>46</v>
      </c>
      <c r="B52" s="22"/>
      <c r="C52" s="23"/>
      <c r="D52" s="23"/>
      <c r="E52" s="23"/>
      <c r="F52" s="23"/>
      <c r="G52" s="23"/>
      <c r="H52" s="22"/>
      <c r="I52" s="24"/>
      <c r="J52" s="22"/>
      <c r="K52" s="23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6" t="n">
        <f aca="false">COUNTIF($L52:$W52,"P")+COUNTIF($L52:$W52,"E")+COUNTIF($L52:$W52,"N")</f>
        <v>0</v>
      </c>
      <c r="Y52" s="26" t="n">
        <f aca="false">SUMPRODUCT((COLUMN($L52:$W52)-COLUMN($L52)+1&lt;=Datos!$C$14)*(($L52:$W52="P")+($L52:$W52="E")+($L52:$W52="N")))</f>
        <v>0</v>
      </c>
      <c r="Z52" s="26" t="n">
        <f aca="false">SUMPRODUCT((COLUMN($L52:$W52)-COLUMN($L52)+1&lt;=Datos!$C$14)*($L52:$W52="E"))</f>
        <v>0</v>
      </c>
      <c r="AA52" s="27" t="str">
        <f aca="false">IF(Y52=0,"",Z52/Y52)</f>
        <v/>
      </c>
      <c r="AB52" s="28" t="str">
        <f aca="false">IF(Y52=0,"",IF(AA52&gt;=Datos!$C$16,"🟢 Óptimo",IF(AA52&gt;=Datos!$C$17,"🟡 Aceptable","🔴 Crítico")))</f>
        <v/>
      </c>
      <c r="AC52" s="28" t="str">
        <f aca="false">IF(X52=0,"",IF(COUNTIF($L52:$W52,"E")=X52,"✅ Cumplida",IF(Y52=0,"⏳ Por iniciar",IF(Z52&lt;Y52,"⚠️ Atrasada","▶️ Al día"))))</f>
        <v/>
      </c>
      <c r="AD52" s="29"/>
    </row>
    <row r="53" customFormat="false" ht="31.5" hidden="false" customHeight="true" outlineLevel="0" collapsed="false">
      <c r="A53" s="21" t="n">
        <v>47</v>
      </c>
      <c r="B53" s="22"/>
      <c r="C53" s="23"/>
      <c r="D53" s="23"/>
      <c r="E53" s="23"/>
      <c r="F53" s="23"/>
      <c r="G53" s="23"/>
      <c r="H53" s="22"/>
      <c r="I53" s="24"/>
      <c r="J53" s="22"/>
      <c r="K53" s="23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6" t="n">
        <f aca="false">COUNTIF($L53:$W53,"P")+COUNTIF($L53:$W53,"E")+COUNTIF($L53:$W53,"N")</f>
        <v>0</v>
      </c>
      <c r="Y53" s="26" t="n">
        <f aca="false">SUMPRODUCT((COLUMN($L53:$W53)-COLUMN($L53)+1&lt;=Datos!$C$14)*(($L53:$W53="P")+($L53:$W53="E")+($L53:$W53="N")))</f>
        <v>0</v>
      </c>
      <c r="Z53" s="26" t="n">
        <f aca="false">SUMPRODUCT((COLUMN($L53:$W53)-COLUMN($L53)+1&lt;=Datos!$C$14)*($L53:$W53="E"))</f>
        <v>0</v>
      </c>
      <c r="AA53" s="27" t="str">
        <f aca="false">IF(Y53=0,"",Z53/Y53)</f>
        <v/>
      </c>
      <c r="AB53" s="28" t="str">
        <f aca="false">IF(Y53=0,"",IF(AA53&gt;=Datos!$C$16,"🟢 Óptimo",IF(AA53&gt;=Datos!$C$17,"🟡 Aceptable","🔴 Crítico")))</f>
        <v/>
      </c>
      <c r="AC53" s="28" t="str">
        <f aca="false">IF(X53=0,"",IF(COUNTIF($L53:$W53,"E")=X53,"✅ Cumplida",IF(Y53=0,"⏳ Por iniciar",IF(Z53&lt;Y53,"⚠️ Atrasada","▶️ Al día"))))</f>
        <v/>
      </c>
      <c r="AD53" s="29"/>
    </row>
    <row r="54" customFormat="false" ht="31.5" hidden="false" customHeight="true" outlineLevel="0" collapsed="false">
      <c r="A54" s="21" t="n">
        <v>48</v>
      </c>
      <c r="B54" s="22"/>
      <c r="C54" s="23"/>
      <c r="D54" s="23"/>
      <c r="E54" s="23"/>
      <c r="F54" s="23"/>
      <c r="G54" s="23"/>
      <c r="H54" s="22"/>
      <c r="I54" s="24"/>
      <c r="J54" s="22"/>
      <c r="K54" s="23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6" t="n">
        <f aca="false">COUNTIF($L54:$W54,"P")+COUNTIF($L54:$W54,"E")+COUNTIF($L54:$W54,"N")</f>
        <v>0</v>
      </c>
      <c r="Y54" s="26" t="n">
        <f aca="false">SUMPRODUCT((COLUMN($L54:$W54)-COLUMN($L54)+1&lt;=Datos!$C$14)*(($L54:$W54="P")+($L54:$W54="E")+($L54:$W54="N")))</f>
        <v>0</v>
      </c>
      <c r="Z54" s="26" t="n">
        <f aca="false">SUMPRODUCT((COLUMN($L54:$W54)-COLUMN($L54)+1&lt;=Datos!$C$14)*($L54:$W54="E"))</f>
        <v>0</v>
      </c>
      <c r="AA54" s="27" t="str">
        <f aca="false">IF(Y54=0,"",Z54/Y54)</f>
        <v/>
      </c>
      <c r="AB54" s="28" t="str">
        <f aca="false">IF(Y54=0,"",IF(AA54&gt;=Datos!$C$16,"🟢 Óptimo",IF(AA54&gt;=Datos!$C$17,"🟡 Aceptable","🔴 Crítico")))</f>
        <v/>
      </c>
      <c r="AC54" s="28" t="str">
        <f aca="false">IF(X54=0,"",IF(COUNTIF($L54:$W54,"E")=X54,"✅ Cumplida",IF(Y54=0,"⏳ Por iniciar",IF(Z54&lt;Y54,"⚠️ Atrasada","▶️ Al día"))))</f>
        <v/>
      </c>
      <c r="AD54" s="29"/>
    </row>
    <row r="55" customFormat="false" ht="31.5" hidden="false" customHeight="true" outlineLevel="0" collapsed="false">
      <c r="A55" s="21" t="n">
        <v>49</v>
      </c>
      <c r="B55" s="22"/>
      <c r="C55" s="23"/>
      <c r="D55" s="23"/>
      <c r="E55" s="23"/>
      <c r="F55" s="23"/>
      <c r="G55" s="23"/>
      <c r="H55" s="22"/>
      <c r="I55" s="24"/>
      <c r="J55" s="22"/>
      <c r="K55" s="23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6" t="n">
        <f aca="false">COUNTIF($L55:$W55,"P")+COUNTIF($L55:$W55,"E")+COUNTIF($L55:$W55,"N")</f>
        <v>0</v>
      </c>
      <c r="Y55" s="26" t="n">
        <f aca="false">SUMPRODUCT((COLUMN($L55:$W55)-COLUMN($L55)+1&lt;=Datos!$C$14)*(($L55:$W55="P")+($L55:$W55="E")+($L55:$W55="N")))</f>
        <v>0</v>
      </c>
      <c r="Z55" s="26" t="n">
        <f aca="false">SUMPRODUCT((COLUMN($L55:$W55)-COLUMN($L55)+1&lt;=Datos!$C$14)*($L55:$W55="E"))</f>
        <v>0</v>
      </c>
      <c r="AA55" s="27" t="str">
        <f aca="false">IF(Y55=0,"",Z55/Y55)</f>
        <v/>
      </c>
      <c r="AB55" s="28" t="str">
        <f aca="false">IF(Y55=0,"",IF(AA55&gt;=Datos!$C$16,"🟢 Óptimo",IF(AA55&gt;=Datos!$C$17,"🟡 Aceptable","🔴 Crítico")))</f>
        <v/>
      </c>
      <c r="AC55" s="28" t="str">
        <f aca="false">IF(X55=0,"",IF(COUNTIF($L55:$W55,"E")=X55,"✅ Cumplida",IF(Y55=0,"⏳ Por iniciar",IF(Z55&lt;Y55,"⚠️ Atrasada","▶️ Al día"))))</f>
        <v/>
      </c>
      <c r="AD55" s="29"/>
    </row>
    <row r="56" customFormat="false" ht="31.5" hidden="false" customHeight="true" outlineLevel="0" collapsed="false">
      <c r="A56" s="21" t="n">
        <v>50</v>
      </c>
      <c r="B56" s="22"/>
      <c r="C56" s="23"/>
      <c r="D56" s="23"/>
      <c r="E56" s="23"/>
      <c r="F56" s="23"/>
      <c r="G56" s="23"/>
      <c r="H56" s="22"/>
      <c r="I56" s="24"/>
      <c r="J56" s="22"/>
      <c r="K56" s="23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6" t="n">
        <f aca="false">COUNTIF($L56:$W56,"P")+COUNTIF($L56:$W56,"E")+COUNTIF($L56:$W56,"N")</f>
        <v>0</v>
      </c>
      <c r="Y56" s="26" t="n">
        <f aca="false">SUMPRODUCT((COLUMN($L56:$W56)-COLUMN($L56)+1&lt;=Datos!$C$14)*(($L56:$W56="P")+($L56:$W56="E")+($L56:$W56="N")))</f>
        <v>0</v>
      </c>
      <c r="Z56" s="26" t="n">
        <f aca="false">SUMPRODUCT((COLUMN($L56:$W56)-COLUMN($L56)+1&lt;=Datos!$C$14)*($L56:$W56="E"))</f>
        <v>0</v>
      </c>
      <c r="AA56" s="27" t="str">
        <f aca="false">IF(Y56=0,"",Z56/Y56)</f>
        <v/>
      </c>
      <c r="AB56" s="28" t="str">
        <f aca="false">IF(Y56=0,"",IF(AA56&gt;=Datos!$C$16,"🟢 Óptimo",IF(AA56&gt;=Datos!$C$17,"🟡 Aceptable","🔴 Crítico")))</f>
        <v/>
      </c>
      <c r="AC56" s="28" t="str">
        <f aca="false">IF(X56=0,"",IF(COUNTIF($L56:$W56,"E")=X56,"✅ Cumplida",IF(Y56=0,"⏳ Por iniciar",IF(Z56&lt;Y56,"⚠️ Atrasada","▶️ Al día"))))</f>
        <v/>
      </c>
      <c r="AD56" s="29"/>
    </row>
    <row r="57" customFormat="false" ht="15" hidden="false" customHeight="false" outlineLevel="0" collapsed="false">
      <c r="A57" s="30"/>
      <c r="B57" s="30"/>
      <c r="C57" s="30"/>
      <c r="D57" s="30"/>
      <c r="E57" s="30" t="s">
        <v>243</v>
      </c>
      <c r="F57" s="30"/>
      <c r="G57" s="30"/>
      <c r="H57" s="30"/>
      <c r="I57" s="31" t="n">
        <f aca="false">SUM(I7:I56)</f>
        <v>24100000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 t="n">
        <f aca="false">SUM(X7:X56)</f>
        <v>110</v>
      </c>
      <c r="Y57" s="30" t="n">
        <f aca="false">SUM(Y7:Y56)</f>
        <v>57</v>
      </c>
      <c r="Z57" s="30" t="n">
        <f aca="false">SUM(Z7:Z56)</f>
        <v>52</v>
      </c>
      <c r="AA57" s="32" t="n">
        <f aca="false">IF(Y57=0,"",Z57/Y57)</f>
        <v>0.912280701754386</v>
      </c>
      <c r="AB57" s="30" t="str">
        <f aca="false">IF(Y57=0,"",IF(AA57&gt;=Datos!$C$16,"🟢 Óptimo",IF(AA57&gt;=Datos!$C$17,"🟡 Aceptable","🔴 Crítico")))</f>
        <v>🟢 Óptimo</v>
      </c>
      <c r="AC57" s="30"/>
      <c r="AD57" s="30"/>
    </row>
    <row r="59" customFormat="false" ht="15" hidden="false" customHeight="false" outlineLevel="0" collapsed="false">
      <c r="A59" s="33" t="s">
        <v>244</v>
      </c>
    </row>
    <row r="60" customFormat="false" ht="15" hidden="false" customHeight="false" outlineLevel="0" collapsed="false">
      <c r="A60" s="34" t="s">
        <v>245</v>
      </c>
    </row>
  </sheetData>
  <autoFilter ref="A6:AD56"/>
  <mergeCells count="3">
    <mergeCell ref="A5:K5"/>
    <mergeCell ref="L5:W5"/>
    <mergeCell ref="X5:AD5"/>
  </mergeCells>
  <conditionalFormatting sqref="L7:W56">
    <cfRule type="cellIs" priority="2" operator="equal" aboveAverage="0" equalAverage="0" bottom="0" percent="0" rank="0" text="" dxfId="15">
      <formula>"P"</formula>
    </cfRule>
    <cfRule type="cellIs" priority="3" operator="equal" aboveAverage="0" equalAverage="0" bottom="0" percent="0" rank="0" text="" dxfId="16">
      <formula>"E"</formula>
    </cfRule>
    <cfRule type="cellIs" priority="4" operator="equal" aboveAverage="0" equalAverage="0" bottom="0" percent="0" rank="0" text="" dxfId="17">
      <formula>"N"</formula>
    </cfRule>
  </conditionalFormatting>
  <conditionalFormatting sqref="AA7:AA56">
    <cfRule type="expression" priority="5" aboveAverage="0" equalAverage="0" bottom="0" percent="0" rank="0" text="" dxfId="16">
      <formula>AND(AA7&lt;&gt;"",AA7&gt;=Datos!$C$16)</formula>
    </cfRule>
    <cfRule type="expression" priority="6" aboveAverage="0" equalAverage="0" bottom="0" percent="0" rank="0" text="" dxfId="18">
      <formula>AND(AA7&lt;&gt;"",AA7&gt;=Datos!$C$17,AA7&lt;Datos!$C$16)</formula>
    </cfRule>
    <cfRule type="expression" priority="7" aboveAverage="0" equalAverage="0" bottom="0" percent="0" rank="0" text="" dxfId="17">
      <formula>AND(AA7&lt;&gt;"",AA7&lt;Datos!$C$17)</formula>
    </cfRule>
  </conditionalFormatting>
  <conditionalFormatting sqref="AC7:AC56">
    <cfRule type="expression" priority="8" aboveAverage="0" equalAverage="0" bottom="0" percent="0" rank="0" text="" dxfId="19">
      <formula>ISNUMBER(SEARCH("Cumplida",AC7))</formula>
    </cfRule>
    <cfRule type="expression" priority="9" aboveAverage="0" equalAverage="0" bottom="0" percent="0" rank="0" text="" dxfId="20">
      <formula>ISNUMBER(SEARCH("Atrasada",AC7))</formula>
    </cfRule>
    <cfRule type="expression" priority="10" aboveAverage="0" equalAverage="0" bottom="0" percent="0" rank="0" text="" dxfId="21">
      <formula>ISNUMBER(SEARCH("Al día",AC7))</formula>
    </cfRule>
    <cfRule type="expression" priority="11" aboveAverage="0" equalAverage="0" bottom="0" percent="0" rank="0" text="" dxfId="22">
      <formula>ISNUMBER(SEARCH("Por iniciar",AC7))</formula>
    </cfRule>
  </conditionalFormatting>
  <dataValidations count="6">
    <dataValidation allowBlank="true" errorStyle="stop" operator="between" showDropDown="false" showErrorMessage="false" showInputMessage="false" sqref="B7:B56" type="list">
      <formula1>Listas!$A$7:$A$10</formula1>
      <formula2>0</formula2>
    </dataValidation>
    <dataValidation allowBlank="true" errorStyle="stop" operator="between" showDropDown="false" showErrorMessage="false" showInputMessage="false" sqref="C7:C56" type="list">
      <formula1>Listas!$B$7:$B$13</formula1>
      <formula2>0</formula2>
    </dataValidation>
    <dataValidation allowBlank="true" errorStyle="stop" operator="between" showDropDown="false" showErrorMessage="false" showInputMessage="false" sqref="D7:D56" type="list">
      <formula1>Listas!$C$7:$C$36</formula1>
      <formula2>0</formula2>
    </dataValidation>
    <dataValidation allowBlank="true" errorStyle="stop" operator="between" showDropDown="false" showErrorMessage="false" showInputMessage="false" sqref="H7:H56" type="list">
      <formula1>Listas!$D$7:$D$18</formula1>
      <formula2>0</formula2>
    </dataValidation>
    <dataValidation allowBlank="true" errorStyle="stop" operator="between" showDropDown="false" showErrorMessage="false" showInputMessage="false" sqref="J7:J56" type="list">
      <formula1>Listas!$E$7:$E$18</formula1>
      <formula2>0</formula2>
    </dataValidation>
    <dataValidation allowBlank="true" error="Use P (programada), E (ejecutada) o N (no ejecutada)." errorStyle="stop" errorTitle="Marca no válida" operator="between" showDropDown="false" showErrorMessage="true" showInputMessage="false" sqref="L7:W56" type="list">
      <formula1>"P,E,N"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&amp;CASEGURA SIG · WhatsApp 302 337 9738 · asegurasig.2026@asegurasig.com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BF71"/>
    <pageSetUpPr fitToPage="true"/>
  </sheetPr>
  <dimension ref="A1:N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6" min="3" style="0" width="11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11" min="9" style="0" width="11"/>
    <col collapsed="false" customWidth="true" hidden="false" outlineLevel="0" max="12" min="12" style="0" width="13"/>
    <col collapsed="false" customWidth="true" hidden="false" outlineLevel="0" max="13" min="13" style="0" width="3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</row>
    <row r="2" customFormat="false" ht="33.75" hidden="false" customHeight="true" outlineLevel="0" collapsed="false">
      <c r="A2" s="1"/>
      <c r="B2" s="1"/>
      <c r="C2" s="1"/>
      <c r="D2" s="3" t="s">
        <v>246</v>
      </c>
      <c r="E2" s="1"/>
      <c r="F2" s="1"/>
      <c r="G2" s="1"/>
      <c r="H2" s="1"/>
      <c r="I2" s="1"/>
      <c r="J2" s="1"/>
      <c r="K2" s="1"/>
      <c r="L2" s="1"/>
    </row>
    <row r="3" customFormat="false" ht="21.75" hidden="false" customHeight="true" outlineLevel="0" collapsed="false">
      <c r="A3" s="1"/>
      <c r="B3" s="1"/>
      <c r="C3" s="1"/>
      <c r="D3" s="4" t="s">
        <v>247</v>
      </c>
      <c r="E3" s="1"/>
      <c r="F3" s="1"/>
      <c r="G3" s="1"/>
      <c r="H3" s="1"/>
      <c r="I3" s="1"/>
      <c r="J3" s="1"/>
      <c r="K3" s="1"/>
      <c r="L3" s="5" t="s">
        <v>3</v>
      </c>
    </row>
    <row r="4" customFormat="false" ht="21.75" hidden="false" customHeight="true" outlineLevel="0" collapsed="false">
      <c r="A4" s="1"/>
      <c r="B4" s="1"/>
      <c r="C4" s="1"/>
      <c r="D4" s="16" t="str">
        <f aca="false">CONCATENATE("Año ",Datos!$C$13,"  ·  ",Datos!$C$6,"  ·  Corte: mes ",Datos!$C$14)</f>
        <v>Año 2027  ·  Empresa Ejemplo S.A.S. (caso hipotético)  ·  Corte: mes 6</v>
      </c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N5" s="14" t="s">
        <v>248</v>
      </c>
    </row>
    <row r="6" customFormat="false" ht="21.75" hidden="false" customHeight="true" outlineLevel="0" collapsed="false">
      <c r="B6" s="35" t="s">
        <v>249</v>
      </c>
      <c r="C6" s="35"/>
      <c r="D6" s="35" t="s">
        <v>83</v>
      </c>
      <c r="E6" s="35" t="s">
        <v>84</v>
      </c>
      <c r="F6" s="35" t="s">
        <v>250</v>
      </c>
      <c r="H6" s="35" t="s">
        <v>86</v>
      </c>
      <c r="I6" s="35" t="s">
        <v>251</v>
      </c>
      <c r="J6" s="35"/>
      <c r="K6" s="35" t="s">
        <v>64</v>
      </c>
      <c r="L6" s="35"/>
    </row>
    <row r="7" customFormat="false" ht="6" hidden="false" customHeight="true" outlineLevel="0" collapsed="false">
      <c r="B7" s="36"/>
      <c r="D7" s="36"/>
      <c r="E7" s="36"/>
      <c r="F7" s="36"/>
      <c r="H7" s="36"/>
      <c r="I7" s="36"/>
      <c r="K7" s="36"/>
    </row>
    <row r="8" customFormat="false" ht="39.75" hidden="false" customHeight="true" outlineLevel="0" collapsed="false">
      <c r="B8" s="37" t="n">
        <f aca="false">COUNTA(Plan!$E$7:$E$56)</f>
        <v>32</v>
      </c>
      <c r="C8" s="37"/>
      <c r="D8" s="37" t="n">
        <f aca="false">SUM(Plan!$Y$7:$Y$56)</f>
        <v>57</v>
      </c>
      <c r="E8" s="37" t="n">
        <f aca="false">SUM(Plan!$Z$7:$Z$56)</f>
        <v>52</v>
      </c>
      <c r="F8" s="38" t="n">
        <f aca="false">IF(D8=0,0,E8/D8)</f>
        <v>0.912280701754386</v>
      </c>
      <c r="H8" s="39" t="str">
        <f aca="false">IF(D8=0,"",IF(F8&gt;=Datos!$C$16,"🟢 Óptimo",IF(F8&gt;=Datos!$C$17,"🟡 Aceptable","🔴 Crítico")))</f>
        <v>🟢 Óptimo</v>
      </c>
      <c r="I8" s="40" t="n">
        <f aca="false">SUM(Plan!$I$7:$I$56)</f>
        <v>24100000</v>
      </c>
      <c r="J8" s="40"/>
      <c r="K8" s="38" t="n">
        <f aca="false">Datos!$C$15</f>
        <v>0.9</v>
      </c>
      <c r="L8" s="38"/>
    </row>
    <row r="10" customFormat="false" ht="15" hidden="false" customHeight="false" outlineLevel="0" collapsed="false">
      <c r="B10" s="41" t="s">
        <v>252</v>
      </c>
      <c r="H10" s="41" t="s">
        <v>253</v>
      </c>
    </row>
    <row r="11" customFormat="false" ht="22.35" hidden="false" customHeight="false" outlineLevel="0" collapsed="false">
      <c r="B11" s="18" t="s">
        <v>254</v>
      </c>
      <c r="C11" s="18" t="s">
        <v>255</v>
      </c>
      <c r="D11" s="18" t="s">
        <v>256</v>
      </c>
      <c r="E11" s="18" t="s">
        <v>257</v>
      </c>
      <c r="F11" s="18" t="s">
        <v>64</v>
      </c>
      <c r="G11" s="18" t="s">
        <v>258</v>
      </c>
      <c r="H11" s="18" t="s">
        <v>259</v>
      </c>
      <c r="I11" s="18" t="s">
        <v>260</v>
      </c>
      <c r="J11" s="18" t="s">
        <v>261</v>
      </c>
      <c r="K11" s="18" t="s">
        <v>262</v>
      </c>
      <c r="L11" s="18" t="s">
        <v>86</v>
      </c>
    </row>
    <row r="12" customFormat="false" ht="15" hidden="false" customHeight="false" outlineLevel="0" collapsed="false">
      <c r="B12" s="21" t="s">
        <v>70</v>
      </c>
      <c r="C12" s="21" t="n">
        <f aca="false">COUNTIF(Plan!$L$7:$L$56,"P")+COUNTIF(Plan!$L$7:$L$56,"E")+COUNTIF(Plan!$L$7:$L$56,"N")</f>
        <v>11</v>
      </c>
      <c r="D12" s="21" t="n">
        <f aca="false">COUNTIF(Plan!$L$7:$L$56,"E")</f>
        <v>11</v>
      </c>
      <c r="E12" s="42" t="n">
        <f aca="false">IF(OR(C12=0,1&gt;Datos!$C$14),"",D12/C12)</f>
        <v>1</v>
      </c>
      <c r="F12" s="42" t="n">
        <f aca="false">Datos!$C$15</f>
        <v>0.9</v>
      </c>
      <c r="G12" s="42" t="n">
        <f aca="false">IF(1&gt;Datos!$C$14,"",IF(SUM($C$12:C12)=0,"",SUM($D$12:D12)/SUM($C$12:C12)))</f>
        <v>1</v>
      </c>
      <c r="H12" s="21" t="s">
        <v>263</v>
      </c>
      <c r="I12" s="21" t="n">
        <f aca="false">SUMIF(Plan!$B$7:$B$56,"P",Plan!$Y$7:$Y$56)</f>
        <v>7</v>
      </c>
      <c r="J12" s="21" t="n">
        <f aca="false">SUMIF(Plan!$B$7:$B$56,"P",Plan!$Z$7:$Z$56)</f>
        <v>7</v>
      </c>
      <c r="K12" s="42" t="n">
        <f aca="false">IF(I12=0,"",J12/I12)</f>
        <v>1</v>
      </c>
      <c r="L12" s="21" t="str">
        <f aca="false">IF(I12=0,"",IF(K12&gt;=Datos!$C$16,"🟢",IF(K12&gt;=Datos!$C$17,"🟡","🔴")))</f>
        <v>🟢</v>
      </c>
    </row>
    <row r="13" customFormat="false" ht="15" hidden="false" customHeight="false" outlineLevel="0" collapsed="false">
      <c r="B13" s="21" t="s">
        <v>71</v>
      </c>
      <c r="C13" s="21" t="n">
        <f aca="false">COUNTIF(Plan!$M$7:$M$56,"P")+COUNTIF(Plan!$M$7:$M$56,"E")+COUNTIF(Plan!$M$7:$M$56,"N")</f>
        <v>10</v>
      </c>
      <c r="D13" s="21" t="n">
        <f aca="false">COUNTIF(Plan!$M$7:$M$56,"E")</f>
        <v>9</v>
      </c>
      <c r="E13" s="42" t="n">
        <f aca="false">IF(OR(C13=0,2&gt;Datos!$C$14),"",D13/C13)</f>
        <v>0.9</v>
      </c>
      <c r="F13" s="42" t="n">
        <f aca="false">Datos!$C$15</f>
        <v>0.9</v>
      </c>
      <c r="G13" s="42" t="n">
        <f aca="false">IF(2&gt;Datos!$C$14,"",IF(SUM($C$12:C13)=0,"",SUM($D$12:D13)/SUM($C$12:C13)))</f>
        <v>0.952380952380952</v>
      </c>
      <c r="H13" s="21" t="s">
        <v>264</v>
      </c>
      <c r="I13" s="21" t="n">
        <f aca="false">SUMIF(Plan!$B$7:$B$56,"H",Plan!$Y$7:$Y$56)</f>
        <v>46</v>
      </c>
      <c r="J13" s="21" t="n">
        <f aca="false">SUMIF(Plan!$B$7:$B$56,"H",Plan!$Z$7:$Z$56)</f>
        <v>41</v>
      </c>
      <c r="K13" s="42" t="n">
        <f aca="false">IF(I13=0,"",J13/I13)</f>
        <v>0.891304347826087</v>
      </c>
      <c r="L13" s="21" t="str">
        <f aca="false">IF(I13=0,"",IF(K13&gt;=Datos!$C$16,"🟢",IF(K13&gt;=Datos!$C$17,"🟡","🔴")))</f>
        <v>🟡</v>
      </c>
    </row>
    <row r="14" customFormat="false" ht="15" hidden="false" customHeight="false" outlineLevel="0" collapsed="false">
      <c r="B14" s="21" t="s">
        <v>72</v>
      </c>
      <c r="C14" s="21" t="n">
        <f aca="false">COUNTIF(Plan!$N$7:$N$56,"P")+COUNTIF(Plan!$N$7:$N$56,"E")+COUNTIF(Plan!$N$7:$N$56,"N")</f>
        <v>10</v>
      </c>
      <c r="D14" s="21" t="n">
        <f aca="false">COUNTIF(Plan!$N$7:$N$56,"E")</f>
        <v>9</v>
      </c>
      <c r="E14" s="42" t="n">
        <f aca="false">IF(OR(C14=0,3&gt;Datos!$C$14),"",D14/C14)</f>
        <v>0.9</v>
      </c>
      <c r="F14" s="42" t="n">
        <f aca="false">Datos!$C$15</f>
        <v>0.9</v>
      </c>
      <c r="G14" s="42" t="n">
        <f aca="false">IF(3&gt;Datos!$C$14,"",IF(SUM($C$12:C14)=0,"",SUM($D$12:D14)/SUM($C$12:C14)))</f>
        <v>0.935483870967742</v>
      </c>
      <c r="H14" s="21" t="s">
        <v>265</v>
      </c>
      <c r="I14" s="21" t="n">
        <f aca="false">SUMIF(Plan!$B$7:$B$56,"V",Plan!$Y$7:$Y$56)</f>
        <v>2</v>
      </c>
      <c r="J14" s="21" t="n">
        <f aca="false">SUMIF(Plan!$B$7:$B$56,"V",Plan!$Z$7:$Z$56)</f>
        <v>2</v>
      </c>
      <c r="K14" s="42" t="n">
        <f aca="false">IF(I14=0,"",J14/I14)</f>
        <v>1</v>
      </c>
      <c r="L14" s="21" t="str">
        <f aca="false">IF(I14=0,"",IF(K14&gt;=Datos!$C$16,"🟢",IF(K14&gt;=Datos!$C$17,"🟡","🔴")))</f>
        <v>🟢</v>
      </c>
    </row>
    <row r="15" customFormat="false" ht="15" hidden="false" customHeight="false" outlineLevel="0" collapsed="false">
      <c r="B15" s="21" t="s">
        <v>73</v>
      </c>
      <c r="C15" s="21" t="n">
        <f aca="false">COUNTIF(Plan!$O$7:$O$56,"P")+COUNTIF(Plan!$O$7:$O$56,"E")+COUNTIF(Plan!$O$7:$O$56,"N")</f>
        <v>10</v>
      </c>
      <c r="D15" s="21" t="n">
        <f aca="false">COUNTIF(Plan!$O$7:$O$56,"E")</f>
        <v>9</v>
      </c>
      <c r="E15" s="42" t="n">
        <f aca="false">IF(OR(C15=0,4&gt;Datos!$C$14),"",D15/C15)</f>
        <v>0.9</v>
      </c>
      <c r="F15" s="42" t="n">
        <f aca="false">Datos!$C$15</f>
        <v>0.9</v>
      </c>
      <c r="G15" s="42" t="n">
        <f aca="false">IF(4&gt;Datos!$C$14,"",IF(SUM($C$12:C15)=0,"",SUM($D$12:D15)/SUM($C$12:C15)))</f>
        <v>0.926829268292683</v>
      </c>
      <c r="H15" s="21" t="s">
        <v>266</v>
      </c>
      <c r="I15" s="21" t="n">
        <f aca="false">SUMIF(Plan!$B$7:$B$56,"A",Plan!$Y$7:$Y$56)</f>
        <v>2</v>
      </c>
      <c r="J15" s="21" t="n">
        <f aca="false">SUMIF(Plan!$B$7:$B$56,"A",Plan!$Z$7:$Z$56)</f>
        <v>2</v>
      </c>
      <c r="K15" s="42" t="n">
        <f aca="false">IF(I15=0,"",J15/I15)</f>
        <v>1</v>
      </c>
      <c r="L15" s="21" t="str">
        <f aca="false">IF(I15=0,"",IF(K15&gt;=Datos!$C$16,"🟢",IF(K15&gt;=Datos!$C$17,"🟡","🔴")))</f>
        <v>🟢</v>
      </c>
    </row>
    <row r="16" customFormat="false" ht="15" hidden="false" customHeight="false" outlineLevel="0" collapsed="false">
      <c r="B16" s="21" t="s">
        <v>74</v>
      </c>
      <c r="C16" s="21" t="n">
        <f aca="false">COUNTIF(Plan!$P$7:$P$56,"P")+COUNTIF(Plan!$P$7:$P$56,"E")+COUNTIF(Plan!$P$7:$P$56,"N")</f>
        <v>6</v>
      </c>
      <c r="D16" s="21" t="n">
        <f aca="false">COUNTIF(Plan!$P$7:$P$56,"E")</f>
        <v>5</v>
      </c>
      <c r="E16" s="42" t="n">
        <f aca="false">IF(OR(C16=0,5&gt;Datos!$C$14),"",D16/C16)</f>
        <v>0.833333333333333</v>
      </c>
      <c r="F16" s="42" t="n">
        <f aca="false">Datos!$C$15</f>
        <v>0.9</v>
      </c>
      <c r="G16" s="42" t="n">
        <f aca="false">IF(5&gt;Datos!$C$14,"",IF(SUM($C$12:C16)=0,"",SUM($D$12:D16)/SUM($C$12:C16)))</f>
        <v>0.914893617021277</v>
      </c>
    </row>
    <row r="17" customFormat="false" ht="15" hidden="false" customHeight="false" outlineLevel="0" collapsed="false">
      <c r="B17" s="21" t="s">
        <v>75</v>
      </c>
      <c r="C17" s="21" t="n">
        <f aca="false">COUNTIF(Plan!$Q$7:$Q$56,"P")+COUNTIF(Plan!$Q$7:$Q$56,"E")+COUNTIF(Plan!$Q$7:$Q$56,"N")</f>
        <v>10</v>
      </c>
      <c r="D17" s="21" t="n">
        <f aca="false">COUNTIF(Plan!$Q$7:$Q$56,"E")</f>
        <v>9</v>
      </c>
      <c r="E17" s="42" t="n">
        <f aca="false">IF(OR(C17=0,6&gt;Datos!$C$14),"",D17/C17)</f>
        <v>0.9</v>
      </c>
      <c r="F17" s="42" t="n">
        <f aca="false">Datos!$C$15</f>
        <v>0.9</v>
      </c>
      <c r="G17" s="42" t="n">
        <f aca="false">IF(6&gt;Datos!$C$14,"",IF(SUM($C$12:C17)=0,"",SUM($D$12:D17)/SUM($C$12:C17)))</f>
        <v>0.912280701754386</v>
      </c>
      <c r="H17" s="41" t="s">
        <v>267</v>
      </c>
    </row>
    <row r="18" customFormat="false" ht="15" hidden="false" customHeight="false" outlineLevel="0" collapsed="false">
      <c r="B18" s="21" t="s">
        <v>76</v>
      </c>
      <c r="C18" s="21" t="n">
        <f aca="false">COUNTIF(Plan!$R$7:$R$56,"P")+COUNTIF(Plan!$R$7:$R$56,"E")+COUNTIF(Plan!$R$7:$R$56,"N")</f>
        <v>9</v>
      </c>
      <c r="D18" s="21" t="n">
        <f aca="false">COUNTIF(Plan!$R$7:$R$56,"E")</f>
        <v>0</v>
      </c>
      <c r="E18" s="42" t="str">
        <f aca="false">IF(OR(C18=0,7&gt;Datos!$C$14),"",D18/C18)</f>
        <v/>
      </c>
      <c r="F18" s="42" t="n">
        <f aca="false">Datos!$C$15</f>
        <v>0.9</v>
      </c>
      <c r="G18" s="42" t="str">
        <f aca="false">IF(7&gt;Datos!$C$14,"",IF(SUM($C$12:C18)=0,"",SUM($D$12:D18)/SUM($C$12:C18)))</f>
        <v/>
      </c>
      <c r="H18" s="18" t="s">
        <v>268</v>
      </c>
      <c r="I18" s="18" t="s">
        <v>260</v>
      </c>
      <c r="J18" s="18" t="s">
        <v>261</v>
      </c>
      <c r="K18" s="18" t="s">
        <v>262</v>
      </c>
      <c r="L18" s="18" t="s">
        <v>269</v>
      </c>
    </row>
    <row r="19" customFormat="false" ht="15" hidden="false" customHeight="false" outlineLevel="0" collapsed="false">
      <c r="B19" s="21" t="s">
        <v>77</v>
      </c>
      <c r="C19" s="21" t="n">
        <f aca="false">COUNTIF(Plan!$S$7:$S$56,"P")+COUNTIF(Plan!$S$7:$S$56,"E")+COUNTIF(Plan!$S$7:$S$56,"N")</f>
        <v>9</v>
      </c>
      <c r="D19" s="21" t="n">
        <f aca="false">COUNTIF(Plan!$S$7:$S$56,"E")</f>
        <v>0</v>
      </c>
      <c r="E19" s="42" t="str">
        <f aca="false">IF(OR(C19=0,8&gt;Datos!$C$14),"",D19/C19)</f>
        <v/>
      </c>
      <c r="F19" s="42" t="n">
        <f aca="false">Datos!$C$15</f>
        <v>0.9</v>
      </c>
      <c r="G19" s="42" t="str">
        <f aca="false">IF(8&gt;Datos!$C$14,"",IF(SUM($C$12:C19)=0,"",SUM($D$12:D19)/SUM($C$12:C19)))</f>
        <v/>
      </c>
      <c r="H19" s="29" t="s">
        <v>66</v>
      </c>
      <c r="I19" s="21" t="n">
        <f aca="false">SUMIF(Plan!$C$7:$C$56,H19,Plan!$Y$7:$Y$56)</f>
        <v>12</v>
      </c>
      <c r="J19" s="21" t="n">
        <f aca="false">SUMIF(Plan!$C$7:$C$56,H19,Plan!$Z$7:$Z$56)</f>
        <v>10</v>
      </c>
      <c r="K19" s="42" t="n">
        <f aca="false">IF(I19=0,"",J19/I19)</f>
        <v>0.833333333333333</v>
      </c>
      <c r="L19" s="43" t="n">
        <f aca="false">SUMIF(Plan!$C$7:$C$56,H19,Plan!$I$7:$I$56)</f>
        <v>4500000</v>
      </c>
    </row>
    <row r="20" customFormat="false" ht="15" hidden="false" customHeight="false" outlineLevel="0" collapsed="false">
      <c r="B20" s="21" t="s">
        <v>78</v>
      </c>
      <c r="C20" s="21" t="n">
        <f aca="false">COUNTIF(Plan!$T$7:$T$56,"P")+COUNTIF(Plan!$T$7:$T$56,"E")+COUNTIF(Plan!$T$7:$T$56,"N")</f>
        <v>9</v>
      </c>
      <c r="D20" s="21" t="n">
        <f aca="false">COUNTIF(Plan!$T$7:$T$56,"E")</f>
        <v>0</v>
      </c>
      <c r="E20" s="42" t="str">
        <f aca="false">IF(OR(C20=0,9&gt;Datos!$C$14),"",D20/C20)</f>
        <v/>
      </c>
      <c r="F20" s="42" t="n">
        <f aca="false">Datos!$C$15</f>
        <v>0.9</v>
      </c>
      <c r="G20" s="42" t="str">
        <f aca="false">IF(9&gt;Datos!$C$14,"",IF(SUM($C$12:C20)=0,"",SUM($D$12:D20)/SUM($C$12:C20)))</f>
        <v/>
      </c>
      <c r="H20" s="29" t="s">
        <v>90</v>
      </c>
      <c r="I20" s="21" t="n">
        <f aca="false">SUMIF(Plan!$C$7:$C$56,H20,Plan!$Y$7:$Y$56)</f>
        <v>7</v>
      </c>
      <c r="J20" s="21" t="n">
        <f aca="false">SUMIF(Plan!$C$7:$C$56,H20,Plan!$Z$7:$Z$56)</f>
        <v>7</v>
      </c>
      <c r="K20" s="42" t="n">
        <f aca="false">IF(I20=0,"",J20/I20)</f>
        <v>1</v>
      </c>
      <c r="L20" s="43" t="n">
        <f aca="false">SUMIF(Plan!$C$7:$C$56,H20,Plan!$I$7:$I$56)</f>
        <v>0</v>
      </c>
    </row>
    <row r="21" customFormat="false" ht="15" hidden="false" customHeight="false" outlineLevel="0" collapsed="false">
      <c r="B21" s="21" t="s">
        <v>79</v>
      </c>
      <c r="C21" s="21" t="n">
        <f aca="false">COUNTIF(Plan!$U$7:$U$56,"P")+COUNTIF(Plan!$U$7:$U$56,"E")+COUNTIF(Plan!$U$7:$U$56,"N")</f>
        <v>9</v>
      </c>
      <c r="D21" s="21" t="n">
        <f aca="false">COUNTIF(Plan!$U$7:$U$56,"E")</f>
        <v>0</v>
      </c>
      <c r="E21" s="42" t="str">
        <f aca="false">IF(OR(C21=0,10&gt;Datos!$C$14),"",D21/C21)</f>
        <v/>
      </c>
      <c r="F21" s="42" t="n">
        <f aca="false">Datos!$C$15</f>
        <v>0.9</v>
      </c>
      <c r="G21" s="42" t="str">
        <f aca="false">IF(10&gt;Datos!$C$14,"",IF(SUM($C$12:C21)=0,"",SUM($D$12:D21)/SUM($C$12:C21)))</f>
        <v/>
      </c>
      <c r="H21" s="29" t="s">
        <v>152</v>
      </c>
      <c r="I21" s="21" t="n">
        <f aca="false">SUMIF(Plan!$C$7:$C$56,H21,Plan!$Y$7:$Y$56)</f>
        <v>12</v>
      </c>
      <c r="J21" s="21" t="n">
        <f aca="false">SUMIF(Plan!$C$7:$C$56,H21,Plan!$Z$7:$Z$56)</f>
        <v>11</v>
      </c>
      <c r="K21" s="42" t="n">
        <f aca="false">IF(I21=0,"",J21/I21)</f>
        <v>0.916666666666667</v>
      </c>
      <c r="L21" s="43" t="n">
        <f aca="false">SUMIF(Plan!$C$7:$C$56,H21,Plan!$I$7:$I$56)</f>
        <v>6800000</v>
      </c>
    </row>
    <row r="22" customFormat="false" ht="15" hidden="false" customHeight="false" outlineLevel="0" collapsed="false">
      <c r="B22" s="21" t="s">
        <v>80</v>
      </c>
      <c r="C22" s="21" t="n">
        <f aca="false">COUNTIF(Plan!$V$7:$V$56,"P")+COUNTIF(Plan!$V$7:$V$56,"E")+COUNTIF(Plan!$V$7:$V$56,"N")</f>
        <v>6</v>
      </c>
      <c r="D22" s="21" t="n">
        <f aca="false">COUNTIF(Plan!$V$7:$V$56,"E")</f>
        <v>0</v>
      </c>
      <c r="E22" s="42" t="str">
        <f aca="false">IF(OR(C22=0,11&gt;Datos!$C$14),"",D22/C22)</f>
        <v/>
      </c>
      <c r="F22" s="42" t="n">
        <f aca="false">Datos!$C$15</f>
        <v>0.9</v>
      </c>
      <c r="G22" s="42" t="str">
        <f aca="false">IF(11&gt;Datos!$C$14,"",IF(SUM($C$12:C22)=0,"",SUM($D$12:D22)/SUM($C$12:C22)))</f>
        <v/>
      </c>
      <c r="H22" s="29" t="s">
        <v>116</v>
      </c>
      <c r="I22" s="21" t="n">
        <f aca="false">SUMIF(Plan!$C$7:$C$56,H22,Plan!$Y$7:$Y$56)</f>
        <v>18</v>
      </c>
      <c r="J22" s="21" t="n">
        <f aca="false">SUMIF(Plan!$C$7:$C$56,H22,Plan!$Z$7:$Z$56)</f>
        <v>16</v>
      </c>
      <c r="K22" s="42" t="n">
        <f aca="false">IF(I22=0,"",J22/I22)</f>
        <v>0.888888888888889</v>
      </c>
      <c r="L22" s="43" t="n">
        <f aca="false">SUMIF(Plan!$C$7:$C$56,H22,Plan!$I$7:$I$56)</f>
        <v>9700000</v>
      </c>
    </row>
    <row r="23" customFormat="false" ht="15" hidden="false" customHeight="false" outlineLevel="0" collapsed="false">
      <c r="B23" s="21" t="s">
        <v>81</v>
      </c>
      <c r="C23" s="21" t="n">
        <f aca="false">COUNTIF(Plan!$W$7:$W$56,"P")+COUNTIF(Plan!$W$7:$W$56,"E")+COUNTIF(Plan!$W$7:$W$56,"N")</f>
        <v>11</v>
      </c>
      <c r="D23" s="21" t="n">
        <f aca="false">COUNTIF(Plan!$W$7:$W$56,"E")</f>
        <v>0</v>
      </c>
      <c r="E23" s="42" t="str">
        <f aca="false">IF(OR(C23=0,12&gt;Datos!$C$14),"",D23/C23)</f>
        <v/>
      </c>
      <c r="F23" s="42" t="n">
        <f aca="false">Datos!$C$15</f>
        <v>0.9</v>
      </c>
      <c r="G23" s="42" t="str">
        <f aca="false">IF(12&gt;Datos!$C$14,"",IF(SUM($C$12:C23)=0,"",SUM($D$12:D23)/SUM($C$12:C23)))</f>
        <v/>
      </c>
      <c r="H23" s="29" t="s">
        <v>180</v>
      </c>
      <c r="I23" s="21" t="n">
        <f aca="false">SUMIF(Plan!$C$7:$C$56,H23,Plan!$Y$7:$Y$56)</f>
        <v>4</v>
      </c>
      <c r="J23" s="21" t="n">
        <f aca="false">SUMIF(Plan!$C$7:$C$56,H23,Plan!$Z$7:$Z$56)</f>
        <v>4</v>
      </c>
      <c r="K23" s="42" t="n">
        <f aca="false">IF(I23=0,"",J23/I23)</f>
        <v>1</v>
      </c>
      <c r="L23" s="43" t="n">
        <f aca="false">SUMIF(Plan!$C$7:$C$56,H23,Plan!$I$7:$I$56)</f>
        <v>2100000</v>
      </c>
    </row>
    <row r="24" customFormat="false" ht="15" hidden="false" customHeight="false" outlineLevel="0" collapsed="false">
      <c r="H24" s="29" t="s">
        <v>222</v>
      </c>
      <c r="I24" s="21" t="n">
        <f aca="false">SUMIF(Plan!$C$7:$C$56,H24,Plan!$Y$7:$Y$56)</f>
        <v>2</v>
      </c>
      <c r="J24" s="21" t="n">
        <f aca="false">SUMIF(Plan!$C$7:$C$56,H24,Plan!$Z$7:$Z$56)</f>
        <v>2</v>
      </c>
      <c r="K24" s="42" t="n">
        <f aca="false">IF(I24=0,"",J24/I24)</f>
        <v>1</v>
      </c>
      <c r="L24" s="43" t="n">
        <f aca="false">SUMIF(Plan!$C$7:$C$56,H24,Plan!$I$7:$I$56)</f>
        <v>1000000</v>
      </c>
    </row>
    <row r="25" customFormat="false" ht="15" hidden="false" customHeight="false" outlineLevel="0" collapsed="false">
      <c r="H25" s="29" t="s">
        <v>104</v>
      </c>
      <c r="I25" s="21" t="n">
        <f aca="false">SUMIF(Plan!$C$7:$C$56,H25,Plan!$Y$7:$Y$56)</f>
        <v>2</v>
      </c>
      <c r="J25" s="21" t="n">
        <f aca="false">SUMIF(Plan!$C$7:$C$56,H25,Plan!$Z$7:$Z$56)</f>
        <v>2</v>
      </c>
      <c r="K25" s="42" t="n">
        <f aca="false">IF(I25=0,"",J25/I25)</f>
        <v>1</v>
      </c>
      <c r="L25" s="43" t="n">
        <f aca="false">SUMIF(Plan!$C$7:$C$56,H25,Plan!$I$7:$I$56)</f>
        <v>0</v>
      </c>
    </row>
    <row r="26" customFormat="false" ht="15" hidden="false" customHeight="false" outlineLevel="0" collapsed="false">
      <c r="B26" s="41" t="s">
        <v>270</v>
      </c>
    </row>
    <row r="27" customFormat="false" ht="15" hidden="false" customHeight="false" outlineLevel="0" collapsed="false">
      <c r="B27" s="18" t="s">
        <v>62</v>
      </c>
      <c r="C27" s="1"/>
      <c r="D27" s="18" t="s">
        <v>249</v>
      </c>
      <c r="E27" s="18" t="s">
        <v>260</v>
      </c>
      <c r="F27" s="18" t="s">
        <v>261</v>
      </c>
      <c r="G27" s="18" t="s">
        <v>262</v>
      </c>
      <c r="H27" s="18" t="s">
        <v>86</v>
      </c>
      <c r="I27" s="18" t="s">
        <v>269</v>
      </c>
    </row>
    <row r="28" customFormat="false" ht="15" hidden="false" customHeight="true" outlineLevel="0" collapsed="false">
      <c r="B28" s="29" t="s">
        <v>91</v>
      </c>
      <c r="C28" s="29"/>
      <c r="D28" s="21" t="n">
        <f aca="false">COUNTIF(Plan!$D$7:$D$56,B28)</f>
        <v>7</v>
      </c>
      <c r="E28" s="21" t="n">
        <f aca="false">SUMIF(Plan!$D$7:$D$56,B28,Plan!$Y$7:$Y$56)</f>
        <v>6</v>
      </c>
      <c r="F28" s="21" t="n">
        <f aca="false">SUMIF(Plan!$D$7:$D$56,B28,Plan!$Z$7:$Z$56)</f>
        <v>6</v>
      </c>
      <c r="G28" s="42" t="n">
        <f aca="false">IF(E28=0,"",F28/E28)</f>
        <v>1</v>
      </c>
      <c r="H28" s="21" t="str">
        <f aca="false">IF(E28=0,"",IF(G28&gt;=Datos!$C$16,"🟢 Óptimo",IF(G28&gt;=Datos!$C$17,"🟡 Aceptable","🔴 Crítico")))</f>
        <v>🟢 Óptimo</v>
      </c>
      <c r="I28" s="43" t="n">
        <f aca="false">SUMIF(Plan!$D$7:$D$56,B28,Plan!$I$7:$I$56)</f>
        <v>0</v>
      </c>
    </row>
    <row r="29" customFormat="false" ht="15" hidden="false" customHeight="true" outlineLevel="0" collapsed="false">
      <c r="B29" s="29" t="s">
        <v>121</v>
      </c>
      <c r="C29" s="29"/>
      <c r="D29" s="21" t="n">
        <f aca="false">COUNTIF(Plan!$D$7:$D$56,B29)</f>
        <v>1</v>
      </c>
      <c r="E29" s="21" t="n">
        <f aca="false">SUMIF(Plan!$D$7:$D$56,B29,Plan!$Y$7:$Y$56)</f>
        <v>1</v>
      </c>
      <c r="F29" s="21" t="n">
        <f aca="false">SUMIF(Plan!$D$7:$D$56,B29,Plan!$Z$7:$Z$56)</f>
        <v>1</v>
      </c>
      <c r="G29" s="42" t="n">
        <f aca="false">IF(E29=0,"",F29/E29)</f>
        <v>1</v>
      </c>
      <c r="H29" s="21" t="str">
        <f aca="false">IF(E29=0,"",IF(G29&gt;=Datos!$C$16,"🟢 Óptimo",IF(G29&gt;=Datos!$C$17,"🟡 Aceptable","🔴 Crítico")))</f>
        <v>🟢 Óptimo</v>
      </c>
      <c r="I29" s="43" t="n">
        <f aca="false">SUMIF(Plan!$D$7:$D$56,B29,Plan!$I$7:$I$56)</f>
        <v>0</v>
      </c>
    </row>
    <row r="30" customFormat="false" ht="15" hidden="false" customHeight="true" outlineLevel="0" collapsed="false">
      <c r="B30" s="29" t="s">
        <v>117</v>
      </c>
      <c r="C30" s="29"/>
      <c r="D30" s="21" t="n">
        <f aca="false">COUNTIF(Plan!$D$7:$D$56,B30)</f>
        <v>1</v>
      </c>
      <c r="E30" s="21" t="n">
        <f aca="false">SUMIF(Plan!$D$7:$D$56,B30,Plan!$Y$7:$Y$56)</f>
        <v>1</v>
      </c>
      <c r="F30" s="21" t="n">
        <f aca="false">SUMIF(Plan!$D$7:$D$56,B30,Plan!$Z$7:$Z$56)</f>
        <v>1</v>
      </c>
      <c r="G30" s="42" t="n">
        <f aca="false">IF(E30=0,"",F30/E30)</f>
        <v>1</v>
      </c>
      <c r="H30" s="21" t="str">
        <f aca="false">IF(E30=0,"",IF(G30&gt;=Datos!$C$16,"🟢 Óptimo",IF(G30&gt;=Datos!$C$17,"🟡 Aceptable","🔴 Crítico")))</f>
        <v>🟢 Óptimo</v>
      </c>
      <c r="I30" s="43" t="n">
        <f aca="false">SUMIF(Plan!$D$7:$D$56,B30,Plan!$I$7:$I$56)</f>
        <v>0</v>
      </c>
    </row>
    <row r="31" customFormat="false" ht="15" hidden="false" customHeight="true" outlineLevel="0" collapsed="false">
      <c r="B31" s="29" t="s">
        <v>131</v>
      </c>
      <c r="C31" s="29"/>
      <c r="D31" s="21" t="n">
        <f aca="false">COUNTIF(Plan!$D$7:$D$56,B31)</f>
        <v>2</v>
      </c>
      <c r="E31" s="21" t="n">
        <f aca="false">SUMIF(Plan!$D$7:$D$56,B31,Plan!$Y$7:$Y$56)</f>
        <v>3</v>
      </c>
      <c r="F31" s="21" t="n">
        <f aca="false">SUMIF(Plan!$D$7:$D$56,B31,Plan!$Z$7:$Z$56)</f>
        <v>2</v>
      </c>
      <c r="G31" s="42" t="n">
        <f aca="false">IF(E31=0,"",F31/E31)</f>
        <v>0.666666666666667</v>
      </c>
      <c r="H31" s="21" t="str">
        <f aca="false">IF(E31=0,"",IF(G31&gt;=Datos!$C$16,"🟢 Óptimo",IF(G31&gt;=Datos!$C$17,"🟡 Aceptable","🔴 Crítico")))</f>
        <v>🔴 Crítico</v>
      </c>
      <c r="I31" s="43" t="n">
        <f aca="false">SUMIF(Plan!$D$7:$D$56,B31,Plan!$I$7:$I$56)</f>
        <v>4500000</v>
      </c>
    </row>
    <row r="32" customFormat="false" ht="15" hidden="false" customHeight="true" outlineLevel="0" collapsed="false">
      <c r="B32" s="29" t="s">
        <v>142</v>
      </c>
      <c r="C32" s="29"/>
      <c r="D32" s="21" t="n">
        <f aca="false">COUNTIF(Plan!$D$7:$D$56,B32)</f>
        <v>2</v>
      </c>
      <c r="E32" s="21" t="n">
        <f aca="false">SUMIF(Plan!$D$7:$D$56,B32,Plan!$Y$7:$Y$56)</f>
        <v>8</v>
      </c>
      <c r="F32" s="21" t="n">
        <f aca="false">SUMIF(Plan!$D$7:$D$56,B32,Plan!$Z$7:$Z$56)</f>
        <v>7</v>
      </c>
      <c r="G32" s="42" t="n">
        <f aca="false">IF(E32=0,"",F32/E32)</f>
        <v>0.875</v>
      </c>
      <c r="H32" s="21" t="str">
        <f aca="false">IF(E32=0,"",IF(G32&gt;=Datos!$C$16,"🟢 Óptimo",IF(G32&gt;=Datos!$C$17,"🟡 Aceptable","🔴 Crítico")))</f>
        <v>🟡 Aceptable</v>
      </c>
      <c r="I32" s="43" t="n">
        <f aca="false">SUMIF(Plan!$D$7:$D$56,B32,Plan!$I$7:$I$56)</f>
        <v>0</v>
      </c>
    </row>
    <row r="33" customFormat="false" ht="15" hidden="false" customHeight="true" outlineLevel="0" collapsed="false">
      <c r="B33" s="29" t="s">
        <v>153</v>
      </c>
      <c r="C33" s="29"/>
      <c r="D33" s="21" t="n">
        <f aca="false">COUNTIF(Plan!$D$7:$D$56,B33)</f>
        <v>2</v>
      </c>
      <c r="E33" s="21" t="n">
        <f aca="false">SUMIF(Plan!$D$7:$D$56,B33,Plan!$Y$7:$Y$56)</f>
        <v>3</v>
      </c>
      <c r="F33" s="21" t="n">
        <f aca="false">SUMIF(Plan!$D$7:$D$56,B33,Plan!$Z$7:$Z$56)</f>
        <v>3</v>
      </c>
      <c r="G33" s="42" t="n">
        <f aca="false">IF(E33=0,"",F33/E33)</f>
        <v>1</v>
      </c>
      <c r="H33" s="21" t="str">
        <f aca="false">IF(E33=0,"",IF(G33&gt;=Datos!$C$16,"🟢 Óptimo",IF(G33&gt;=Datos!$C$17,"🟡 Aceptable","🔴 Crítico")))</f>
        <v>🟢 Óptimo</v>
      </c>
      <c r="I33" s="43" t="n">
        <f aca="false">SUMIF(Plan!$D$7:$D$56,B33,Plan!$I$7:$I$56)</f>
        <v>6000000</v>
      </c>
    </row>
    <row r="34" customFormat="false" ht="15" hidden="false" customHeight="true" outlineLevel="0" collapsed="false">
      <c r="B34" s="29" t="s">
        <v>160</v>
      </c>
      <c r="C34" s="29"/>
      <c r="D34" s="21" t="n">
        <f aca="false">COUNTIF(Plan!$D$7:$D$56,B34)</f>
        <v>1</v>
      </c>
      <c r="E34" s="21" t="n">
        <f aca="false">SUMIF(Plan!$D$7:$D$56,B34,Plan!$Y$7:$Y$56)</f>
        <v>3</v>
      </c>
      <c r="F34" s="21" t="n">
        <f aca="false">SUMIF(Plan!$D$7:$D$56,B34,Plan!$Z$7:$Z$56)</f>
        <v>2</v>
      </c>
      <c r="G34" s="42" t="n">
        <f aca="false">IF(E34=0,"",F34/E34)</f>
        <v>0.666666666666667</v>
      </c>
      <c r="H34" s="21" t="str">
        <f aca="false">IF(E34=0,"",IF(G34&gt;=Datos!$C$16,"🟢 Óptimo",IF(G34&gt;=Datos!$C$17,"🟡 Aceptable","🔴 Crítico")))</f>
        <v>🔴 Crítico</v>
      </c>
      <c r="I34" s="43" t="n">
        <f aca="false">SUMIF(Plan!$D$7:$D$56,B34,Plan!$I$7:$I$56)</f>
        <v>800000</v>
      </c>
    </row>
    <row r="35" customFormat="false" ht="15" hidden="false" customHeight="true" outlineLevel="0" collapsed="false">
      <c r="B35" s="29" t="s">
        <v>165</v>
      </c>
      <c r="C35" s="29"/>
      <c r="D35" s="21" t="n">
        <f aca="false">COUNTIF(Plan!$D$7:$D$56,B35)</f>
        <v>1</v>
      </c>
      <c r="E35" s="21" t="n">
        <f aca="false">SUMIF(Plan!$D$7:$D$56,B35,Plan!$Y$7:$Y$56)</f>
        <v>0</v>
      </c>
      <c r="F35" s="21" t="n">
        <f aca="false">SUMIF(Plan!$D$7:$D$56,B35,Plan!$Z$7:$Z$56)</f>
        <v>0</v>
      </c>
      <c r="G35" s="42" t="str">
        <f aca="false">IF(E35=0,"",F35/E35)</f>
        <v/>
      </c>
      <c r="H35" s="21" t="str">
        <f aca="false">IF(E35=0,"",IF(G35&gt;=Datos!$C$16,"🟢 Óptimo",IF(G35&gt;=Datos!$C$17,"🟡 Aceptable","🔴 Crítico")))</f>
        <v/>
      </c>
      <c r="I35" s="43" t="n">
        <f aca="false">SUMIF(Plan!$D$7:$D$56,B35,Plan!$I$7:$I$56)</f>
        <v>2500000</v>
      </c>
    </row>
    <row r="36" customFormat="false" ht="15" hidden="false" customHeight="true" outlineLevel="0" collapsed="false">
      <c r="B36" s="29" t="s">
        <v>170</v>
      </c>
      <c r="C36" s="29"/>
      <c r="D36" s="21" t="n">
        <f aca="false">COUNTIF(Plan!$D$7:$D$56,B36)</f>
        <v>1</v>
      </c>
      <c r="E36" s="21" t="n">
        <f aca="false">SUMIF(Plan!$D$7:$D$56,B36,Plan!$Y$7:$Y$56)</f>
        <v>3</v>
      </c>
      <c r="F36" s="21" t="n">
        <f aca="false">SUMIF(Plan!$D$7:$D$56,B36,Plan!$Z$7:$Z$56)</f>
        <v>3</v>
      </c>
      <c r="G36" s="42" t="n">
        <f aca="false">IF(E36=0,"",F36/E36)</f>
        <v>1</v>
      </c>
      <c r="H36" s="21" t="str">
        <f aca="false">IF(E36=0,"",IF(G36&gt;=Datos!$C$16,"🟢 Óptimo",IF(G36&gt;=Datos!$C$17,"🟡 Aceptable","🔴 Crítico")))</f>
        <v>🟢 Óptimo</v>
      </c>
      <c r="I36" s="43" t="n">
        <f aca="false">SUMIF(Plan!$D$7:$D$56,B36,Plan!$I$7:$I$56)</f>
        <v>0</v>
      </c>
    </row>
    <row r="37" customFormat="false" ht="15" hidden="false" customHeight="true" outlineLevel="0" collapsed="false">
      <c r="B37" s="29" t="s">
        <v>175</v>
      </c>
      <c r="C37" s="29"/>
      <c r="D37" s="21" t="n">
        <f aca="false">COUNTIF(Plan!$D$7:$D$56,B37)</f>
        <v>1</v>
      </c>
      <c r="E37" s="21" t="n">
        <f aca="false">SUMIF(Plan!$D$7:$D$56,B37,Plan!$Y$7:$Y$56)</f>
        <v>2</v>
      </c>
      <c r="F37" s="21" t="n">
        <f aca="false">SUMIF(Plan!$D$7:$D$56,B37,Plan!$Z$7:$Z$56)</f>
        <v>2</v>
      </c>
      <c r="G37" s="42" t="n">
        <f aca="false">IF(E37=0,"",F37/E37)</f>
        <v>1</v>
      </c>
      <c r="H37" s="21" t="str">
        <f aca="false">IF(E37=0,"",IF(G37&gt;=Datos!$C$16,"🟢 Óptimo",IF(G37&gt;=Datos!$C$17,"🟡 Aceptable","🔴 Crítico")))</f>
        <v>🟢 Óptimo</v>
      </c>
      <c r="I37" s="43" t="n">
        <f aca="false">SUMIF(Plan!$D$7:$D$56,B37,Plan!$I$7:$I$56)</f>
        <v>4000000</v>
      </c>
    </row>
    <row r="38" customFormat="false" ht="15" hidden="false" customHeight="true" outlineLevel="0" collapsed="false">
      <c r="B38" s="29" t="s">
        <v>181</v>
      </c>
      <c r="C38" s="29"/>
      <c r="D38" s="21" t="n">
        <f aca="false">COUNTIF(Plan!$D$7:$D$56,B38)</f>
        <v>4</v>
      </c>
      <c r="E38" s="21" t="n">
        <f aca="false">SUMIF(Plan!$D$7:$D$56,B38,Plan!$Y$7:$Y$56)</f>
        <v>4</v>
      </c>
      <c r="F38" s="21" t="n">
        <f aca="false">SUMIF(Plan!$D$7:$D$56,B38,Plan!$Z$7:$Z$56)</f>
        <v>4</v>
      </c>
      <c r="G38" s="42" t="n">
        <f aca="false">IF(E38=0,"",F38/E38)</f>
        <v>1</v>
      </c>
      <c r="H38" s="21" t="str">
        <f aca="false">IF(E38=0,"",IF(G38&gt;=Datos!$C$16,"🟢 Óptimo",IF(G38&gt;=Datos!$C$17,"🟡 Aceptable","🔴 Crítico")))</f>
        <v>🟢 Óptimo</v>
      </c>
      <c r="I38" s="43" t="n">
        <f aca="false">SUMIF(Plan!$D$7:$D$56,B38,Plan!$I$7:$I$56)</f>
        <v>2100000</v>
      </c>
    </row>
    <row r="39" customFormat="false" ht="15" hidden="false" customHeight="true" outlineLevel="0" collapsed="false">
      <c r="B39" s="29" t="s">
        <v>197</v>
      </c>
      <c r="C39" s="29"/>
      <c r="D39" s="21" t="n">
        <f aca="false">COUNTIF(Plan!$D$7:$D$56,B39)</f>
        <v>1</v>
      </c>
      <c r="E39" s="21" t="n">
        <f aca="false">SUMIF(Plan!$D$7:$D$56,B39,Plan!$Y$7:$Y$56)</f>
        <v>6</v>
      </c>
      <c r="F39" s="21" t="n">
        <f aca="false">SUMIF(Plan!$D$7:$D$56,B39,Plan!$Z$7:$Z$56)</f>
        <v>5</v>
      </c>
      <c r="G39" s="42" t="n">
        <f aca="false">IF(E39=0,"",F39/E39)</f>
        <v>0.833333333333333</v>
      </c>
      <c r="H39" s="21" t="str">
        <f aca="false">IF(E39=0,"",IF(G39&gt;=Datos!$C$16,"🟢 Óptimo",IF(G39&gt;=Datos!$C$17,"🟡 Aceptable","🔴 Crítico")))</f>
        <v>🟡 Aceptable</v>
      </c>
      <c r="I39" s="43" t="n">
        <f aca="false">SUMIF(Plan!$D$7:$D$56,B39,Plan!$I$7:$I$56)</f>
        <v>2000000</v>
      </c>
    </row>
    <row r="40" customFormat="false" ht="15" hidden="false" customHeight="true" outlineLevel="0" collapsed="false">
      <c r="B40" s="29" t="s">
        <v>202</v>
      </c>
      <c r="C40" s="29"/>
      <c r="D40" s="21" t="n">
        <f aca="false">COUNTIF(Plan!$D$7:$D$56,B40)</f>
        <v>1</v>
      </c>
      <c r="E40" s="21" t="n">
        <f aca="false">SUMIF(Plan!$D$7:$D$56,B40,Plan!$Y$7:$Y$56)</f>
        <v>1</v>
      </c>
      <c r="F40" s="21" t="n">
        <f aca="false">SUMIF(Plan!$D$7:$D$56,B40,Plan!$Z$7:$Z$56)</f>
        <v>1</v>
      </c>
      <c r="G40" s="42" t="n">
        <f aca="false">IF(E40=0,"",F40/E40)</f>
        <v>1</v>
      </c>
      <c r="H40" s="21" t="str">
        <f aca="false">IF(E40=0,"",IF(G40&gt;=Datos!$C$16,"🟢 Óptimo",IF(G40&gt;=Datos!$C$17,"🟡 Aceptable","🔴 Crítico")))</f>
        <v>🟢 Óptimo</v>
      </c>
      <c r="I40" s="43" t="n">
        <f aca="false">SUMIF(Plan!$D$7:$D$56,B40,Plan!$I$7:$I$56)</f>
        <v>0</v>
      </c>
    </row>
    <row r="41" customFormat="false" ht="15" hidden="false" customHeight="true" outlineLevel="0" collapsed="false">
      <c r="B41" s="29" t="s">
        <v>207</v>
      </c>
      <c r="C41" s="29"/>
      <c r="D41" s="21" t="n">
        <f aca="false">COUNTIF(Plan!$D$7:$D$56,B41)</f>
        <v>1</v>
      </c>
      <c r="E41" s="21" t="n">
        <f aca="false">SUMIF(Plan!$D$7:$D$56,B41,Plan!$Y$7:$Y$56)</f>
        <v>1</v>
      </c>
      <c r="F41" s="21" t="n">
        <f aca="false">SUMIF(Plan!$D$7:$D$56,B41,Plan!$Z$7:$Z$56)</f>
        <v>1</v>
      </c>
      <c r="G41" s="42" t="n">
        <f aca="false">IF(E41=0,"",F41/E41)</f>
        <v>1</v>
      </c>
      <c r="H41" s="21" t="str">
        <f aca="false">IF(E41=0,"",IF(G41&gt;=Datos!$C$16,"🟢 Óptimo",IF(G41&gt;=Datos!$C$17,"🟡 Aceptable","🔴 Crítico")))</f>
        <v>🟢 Óptimo</v>
      </c>
      <c r="I41" s="43" t="n">
        <f aca="false">SUMIF(Plan!$D$7:$D$56,B41,Plan!$I$7:$I$56)</f>
        <v>0</v>
      </c>
    </row>
    <row r="42" customFormat="false" ht="15" hidden="false" customHeight="true" outlineLevel="0" collapsed="false">
      <c r="B42" s="29" t="s">
        <v>211</v>
      </c>
      <c r="C42" s="29"/>
      <c r="D42" s="21" t="n">
        <f aca="false">COUNTIF(Plan!$D$7:$D$56,B42)</f>
        <v>1</v>
      </c>
      <c r="E42" s="21" t="n">
        <f aca="false">SUMIF(Plan!$D$7:$D$56,B42,Plan!$Y$7:$Y$56)</f>
        <v>6</v>
      </c>
      <c r="F42" s="21" t="n">
        <f aca="false">SUMIF(Plan!$D$7:$D$56,B42,Plan!$Z$7:$Z$56)</f>
        <v>6</v>
      </c>
      <c r="G42" s="42" t="n">
        <f aca="false">IF(E42=0,"",F42/E42)</f>
        <v>1</v>
      </c>
      <c r="H42" s="21" t="str">
        <f aca="false">IF(E42=0,"",IF(G42&gt;=Datos!$C$16,"🟢 Óptimo",IF(G42&gt;=Datos!$C$17,"🟡 Aceptable","🔴 Crítico")))</f>
        <v>🟢 Óptimo</v>
      </c>
      <c r="I42" s="43" t="n">
        <f aca="false">SUMIF(Plan!$D$7:$D$56,B42,Plan!$I$7:$I$56)</f>
        <v>0</v>
      </c>
    </row>
    <row r="43" customFormat="false" ht="15" hidden="false" customHeight="true" outlineLevel="0" collapsed="false">
      <c r="B43" s="29" t="s">
        <v>223</v>
      </c>
      <c r="C43" s="29"/>
      <c r="D43" s="21" t="n">
        <f aca="false">COUNTIF(Plan!$D$7:$D$56,B43)</f>
        <v>1</v>
      </c>
      <c r="E43" s="21" t="n">
        <f aca="false">SUMIF(Plan!$D$7:$D$56,B43,Plan!$Y$7:$Y$56)</f>
        <v>2</v>
      </c>
      <c r="F43" s="21" t="n">
        <f aca="false">SUMIF(Plan!$D$7:$D$56,B43,Plan!$Z$7:$Z$56)</f>
        <v>2</v>
      </c>
      <c r="G43" s="42" t="n">
        <f aca="false">IF(E43=0,"",F43/E43)</f>
        <v>1</v>
      </c>
      <c r="H43" s="21" t="str">
        <f aca="false">IF(E43=0,"",IF(G43&gt;=Datos!$C$16,"🟢 Óptimo",IF(G43&gt;=Datos!$C$17,"🟡 Aceptable","🔴 Crítico")))</f>
        <v>🟢 Óptimo</v>
      </c>
      <c r="I43" s="43" t="n">
        <f aca="false">SUMIF(Plan!$D$7:$D$56,B43,Plan!$I$7:$I$56)</f>
        <v>0</v>
      </c>
    </row>
    <row r="44" customFormat="false" ht="15" hidden="false" customHeight="true" outlineLevel="0" collapsed="false">
      <c r="B44" s="29" t="s">
        <v>227</v>
      </c>
      <c r="C44" s="29"/>
      <c r="D44" s="21" t="n">
        <f aca="false">COUNTIF(Plan!$D$7:$D$56,B44)</f>
        <v>1</v>
      </c>
      <c r="E44" s="21" t="n">
        <f aca="false">SUMIF(Plan!$D$7:$D$56,B44,Plan!$Y$7:$Y$56)</f>
        <v>0</v>
      </c>
      <c r="F44" s="21" t="n">
        <f aca="false">SUMIF(Plan!$D$7:$D$56,B44,Plan!$Z$7:$Z$56)</f>
        <v>0</v>
      </c>
      <c r="G44" s="42" t="str">
        <f aca="false">IF(E44=0,"",F44/E44)</f>
        <v/>
      </c>
      <c r="H44" s="21" t="str">
        <f aca="false">IF(E44=0,"",IF(G44&gt;=Datos!$C$16,"🟢 Óptimo",IF(G44&gt;=Datos!$C$17,"🟡 Aceptable","🔴 Crítico")))</f>
        <v/>
      </c>
      <c r="I44" s="43" t="n">
        <f aca="false">SUMIF(Plan!$D$7:$D$56,B44,Plan!$I$7:$I$56)</f>
        <v>1000000</v>
      </c>
    </row>
    <row r="45" customFormat="false" ht="15" hidden="false" customHeight="true" outlineLevel="0" collapsed="false">
      <c r="B45" s="29" t="s">
        <v>232</v>
      </c>
      <c r="C45" s="29"/>
      <c r="D45" s="21" t="n">
        <f aca="false">COUNTIF(Plan!$D$7:$D$56,B45)</f>
        <v>1</v>
      </c>
      <c r="E45" s="21" t="n">
        <f aca="false">SUMIF(Plan!$D$7:$D$56,B45,Plan!$Y$7:$Y$56)</f>
        <v>0</v>
      </c>
      <c r="F45" s="21" t="n">
        <f aca="false">SUMIF(Plan!$D$7:$D$56,B45,Plan!$Z$7:$Z$56)</f>
        <v>0</v>
      </c>
      <c r="G45" s="42" t="str">
        <f aca="false">IF(E45=0,"",F45/E45)</f>
        <v/>
      </c>
      <c r="H45" s="21" t="str">
        <f aca="false">IF(E45=0,"",IF(G45&gt;=Datos!$C$16,"🟢 Óptimo",IF(G45&gt;=Datos!$C$17,"🟡 Aceptable","🔴 Crítico")))</f>
        <v/>
      </c>
      <c r="I45" s="43" t="n">
        <f aca="false">SUMIF(Plan!$D$7:$D$56,B45,Plan!$I$7:$I$56)</f>
        <v>0</v>
      </c>
    </row>
    <row r="46" customFormat="false" ht="15" hidden="false" customHeight="true" outlineLevel="0" collapsed="false">
      <c r="B46" s="29" t="s">
        <v>236</v>
      </c>
      <c r="C46" s="29"/>
      <c r="D46" s="21" t="n">
        <f aca="false">COUNTIF(Plan!$D$7:$D$56,B46)</f>
        <v>1</v>
      </c>
      <c r="E46" s="21" t="n">
        <f aca="false">SUMIF(Plan!$D$7:$D$56,B46,Plan!$Y$7:$Y$56)</f>
        <v>1</v>
      </c>
      <c r="F46" s="21" t="n">
        <f aca="false">SUMIF(Plan!$D$7:$D$56,B46,Plan!$Z$7:$Z$56)</f>
        <v>1</v>
      </c>
      <c r="G46" s="42" t="n">
        <f aca="false">IF(E46=0,"",F46/E46)</f>
        <v>1</v>
      </c>
      <c r="H46" s="21" t="str">
        <f aca="false">IF(E46=0,"",IF(G46&gt;=Datos!$C$16,"🟢 Óptimo",IF(G46&gt;=Datos!$C$17,"🟡 Aceptable","🔴 Crítico")))</f>
        <v>🟢 Óptimo</v>
      </c>
      <c r="I46" s="43" t="n">
        <f aca="false">SUMIF(Plan!$D$7:$D$56,B46,Plan!$I$7:$I$56)</f>
        <v>0</v>
      </c>
    </row>
    <row r="47" customFormat="false" ht="15" hidden="false" customHeight="true" outlineLevel="0" collapsed="false">
      <c r="B47" s="29" t="s">
        <v>216</v>
      </c>
      <c r="C47" s="29"/>
      <c r="D47" s="21" t="n">
        <f aca="false">COUNTIF(Plan!$D$7:$D$56,B47)</f>
        <v>1</v>
      </c>
      <c r="E47" s="21" t="n">
        <f aca="false">SUMIF(Plan!$D$7:$D$56,B47,Plan!$Y$7:$Y$56)</f>
        <v>6</v>
      </c>
      <c r="F47" s="21" t="n">
        <f aca="false">SUMIF(Plan!$D$7:$D$56,B47,Plan!$Z$7:$Z$56)</f>
        <v>5</v>
      </c>
      <c r="G47" s="42" t="n">
        <f aca="false">IF(E47=0,"",F47/E47)</f>
        <v>0.833333333333333</v>
      </c>
      <c r="H47" s="21" t="str">
        <f aca="false">IF(E47=0,"",IF(G47&gt;=Datos!$C$16,"🟢 Óptimo",IF(G47&gt;=Datos!$C$17,"🟡 Aceptable","🔴 Crítico")))</f>
        <v>🟡 Aceptable</v>
      </c>
      <c r="I47" s="43" t="n">
        <f aca="false">SUMIF(Plan!$D$7:$D$56,B47,Plan!$I$7:$I$56)</f>
        <v>1200000</v>
      </c>
    </row>
    <row r="50" customFormat="false" ht="15" hidden="false" customHeight="false" outlineLevel="0" collapsed="false">
      <c r="B50" s="41" t="s">
        <v>271</v>
      </c>
    </row>
    <row r="51" customFormat="false" ht="15" hidden="false" customHeight="false" outlineLevel="0" collapsed="false">
      <c r="B51" s="44" t="s">
        <v>272</v>
      </c>
      <c r="C51" s="45" t="s">
        <v>181</v>
      </c>
      <c r="D51" s="45"/>
      <c r="E51" s="45"/>
      <c r="F51" s="45"/>
    </row>
    <row r="52" customFormat="false" ht="15" hidden="false" customHeight="false" outlineLevel="0" collapsed="false">
      <c r="B52" s="46" t="s">
        <v>249</v>
      </c>
      <c r="C52" s="47" t="n">
        <f aca="false">COUNTIF(Plan!$D$7:$D$56,$C$51)</f>
        <v>4</v>
      </c>
    </row>
    <row r="53" customFormat="false" ht="15" hidden="false" customHeight="false" outlineLevel="0" collapsed="false">
      <c r="B53" s="46" t="s">
        <v>273</v>
      </c>
      <c r="C53" s="47" t="n">
        <f aca="false">SUMIF(Plan!$D$7:$D$56,$C$51,Plan!$Y$7:$Y$56)</f>
        <v>4</v>
      </c>
    </row>
    <row r="54" customFormat="false" ht="15" hidden="false" customHeight="false" outlineLevel="0" collapsed="false">
      <c r="B54" s="46" t="s">
        <v>274</v>
      </c>
      <c r="C54" s="47" t="n">
        <f aca="false">SUMIF(Plan!$D$7:$D$56,$C$51,Plan!$Z$7:$Z$56)</f>
        <v>4</v>
      </c>
    </row>
    <row r="55" customFormat="false" ht="15" hidden="false" customHeight="false" outlineLevel="0" collapsed="false">
      <c r="B55" s="46" t="s">
        <v>275</v>
      </c>
      <c r="C55" s="48" t="n">
        <f aca="false">IF(C53=0,"",C54/C53)</f>
        <v>1</v>
      </c>
    </row>
    <row r="56" customFormat="false" ht="15" hidden="false" customHeight="false" outlineLevel="0" collapsed="false">
      <c r="B56" s="46" t="s">
        <v>86</v>
      </c>
      <c r="C56" s="49" t="str">
        <f aca="false">IF(C53=0,"",IF(C55&gt;=Datos!$C$16,"🟢 Óptimo",IF(C55&gt;=Datos!$C$17,"🟡 Aceptable","🔴 Crítico")))</f>
        <v>🟢 Óptimo</v>
      </c>
    </row>
    <row r="57" customFormat="false" ht="15" hidden="false" customHeight="false" outlineLevel="0" collapsed="false">
      <c r="B57" s="46" t="s">
        <v>269</v>
      </c>
      <c r="C57" s="50" t="n">
        <f aca="false">SUMIF(Plan!$D$7:$D$56,$C$51,Plan!$I$7:$I$56)</f>
        <v>2100000</v>
      </c>
    </row>
    <row r="58" customFormat="false" ht="15" hidden="false" customHeight="false" outlineLevel="0" collapsed="false">
      <c r="B58" s="46" t="s">
        <v>276</v>
      </c>
      <c r="C58" s="47" t="n">
        <f aca="false">COUNTIFS(Plan!$D$7:$D$56,$C$51,Plan!$AC$7:$AC$56,"*Atrasada*")</f>
        <v>0</v>
      </c>
    </row>
    <row r="60" customFormat="false" ht="15" hidden="false" customHeight="false" outlineLevel="0" collapsed="false">
      <c r="B60" s="51" t="s">
        <v>277</v>
      </c>
      <c r="C60" s="52" t="n">
        <f aca="false">COUNTIF(Plan!$AC$7:$AC$56,"*Atrasada*")</f>
        <v>5</v>
      </c>
    </row>
    <row r="63" customFormat="false" ht="15" hidden="false" customHeight="false" outlineLevel="0" collapsed="false">
      <c r="B63" s="41" t="s">
        <v>278</v>
      </c>
    </row>
    <row r="64" customFormat="false" ht="22.35" hidden="false" customHeight="false" outlineLevel="0" collapsed="false">
      <c r="B64" s="18" t="s">
        <v>254</v>
      </c>
      <c r="C64" s="18" t="s">
        <v>279</v>
      </c>
      <c r="D64" s="18" t="s">
        <v>280</v>
      </c>
    </row>
    <row r="65" customFormat="false" ht="15" hidden="false" customHeight="false" outlineLevel="0" collapsed="false">
      <c r="B65" s="21" t="str">
        <f aca="false">B12</f>
        <v>Ene</v>
      </c>
      <c r="C65" s="21" t="n">
        <f aca="false">SUM($C$12:C12)</f>
        <v>11</v>
      </c>
      <c r="D65" s="21" t="n">
        <f aca="false">SUM($D$12:D12)</f>
        <v>11</v>
      </c>
    </row>
    <row r="66" customFormat="false" ht="15" hidden="false" customHeight="false" outlineLevel="0" collapsed="false">
      <c r="B66" s="21" t="str">
        <f aca="false">B13</f>
        <v>Feb</v>
      </c>
      <c r="C66" s="21" t="n">
        <f aca="false">SUM($C$12:C13)</f>
        <v>21</v>
      </c>
      <c r="D66" s="21" t="n">
        <f aca="false">SUM($D$12:D13)</f>
        <v>20</v>
      </c>
    </row>
    <row r="67" customFormat="false" ht="15" hidden="false" customHeight="false" outlineLevel="0" collapsed="false">
      <c r="B67" s="21" t="str">
        <f aca="false">B14</f>
        <v>Mar</v>
      </c>
      <c r="C67" s="21" t="n">
        <f aca="false">SUM($C$12:C14)</f>
        <v>31</v>
      </c>
      <c r="D67" s="21" t="n">
        <f aca="false">SUM($D$12:D14)</f>
        <v>29</v>
      </c>
    </row>
    <row r="68" customFormat="false" ht="15" hidden="false" customHeight="false" outlineLevel="0" collapsed="false">
      <c r="B68" s="21" t="str">
        <f aca="false">B15</f>
        <v>Abr</v>
      </c>
      <c r="C68" s="21" t="n">
        <f aca="false">SUM($C$12:C15)</f>
        <v>41</v>
      </c>
      <c r="D68" s="21" t="n">
        <f aca="false">SUM($D$12:D15)</f>
        <v>38</v>
      </c>
    </row>
    <row r="69" customFormat="false" ht="15" hidden="false" customHeight="false" outlineLevel="0" collapsed="false">
      <c r="B69" s="21" t="str">
        <f aca="false">B16</f>
        <v>May</v>
      </c>
      <c r="C69" s="21" t="n">
        <f aca="false">SUM($C$12:C16)</f>
        <v>47</v>
      </c>
      <c r="D69" s="21" t="n">
        <f aca="false">SUM($D$12:D16)</f>
        <v>43</v>
      </c>
    </row>
    <row r="70" customFormat="false" ht="15" hidden="false" customHeight="false" outlineLevel="0" collapsed="false">
      <c r="B70" s="21" t="str">
        <f aca="false">B17</f>
        <v>Jun</v>
      </c>
      <c r="C70" s="21" t="n">
        <f aca="false">SUM($C$12:C17)</f>
        <v>57</v>
      </c>
      <c r="D70" s="21" t="n">
        <f aca="false">SUM($D$12:D17)</f>
        <v>52</v>
      </c>
    </row>
    <row r="71" customFormat="false" ht="15" hidden="false" customHeight="false" outlineLevel="0" collapsed="false">
      <c r="B71" s="21" t="str">
        <f aca="false">B18</f>
        <v>Jul</v>
      </c>
      <c r="C71" s="21" t="n">
        <f aca="false">SUM($C$12:C18)</f>
        <v>66</v>
      </c>
      <c r="D71" s="21" t="n">
        <f aca="false">SUM($D$12:D18)</f>
        <v>52</v>
      </c>
    </row>
    <row r="72" customFormat="false" ht="15" hidden="false" customHeight="false" outlineLevel="0" collapsed="false">
      <c r="B72" s="21" t="str">
        <f aca="false">B19</f>
        <v>Ago</v>
      </c>
      <c r="C72" s="21" t="n">
        <f aca="false">SUM($C$12:C19)</f>
        <v>75</v>
      </c>
      <c r="D72" s="21" t="n">
        <f aca="false">SUM($D$12:D19)</f>
        <v>52</v>
      </c>
    </row>
    <row r="73" customFormat="false" ht="15" hidden="false" customHeight="false" outlineLevel="0" collapsed="false">
      <c r="B73" s="21" t="str">
        <f aca="false">B20</f>
        <v>Sep</v>
      </c>
      <c r="C73" s="21" t="n">
        <f aca="false">SUM($C$12:C20)</f>
        <v>84</v>
      </c>
      <c r="D73" s="21" t="n">
        <f aca="false">SUM($D$12:D20)</f>
        <v>52</v>
      </c>
    </row>
    <row r="74" customFormat="false" ht="15" hidden="false" customHeight="false" outlineLevel="0" collapsed="false">
      <c r="B74" s="21" t="str">
        <f aca="false">B21</f>
        <v>Oct</v>
      </c>
      <c r="C74" s="21" t="n">
        <f aca="false">SUM($C$12:C21)</f>
        <v>93</v>
      </c>
      <c r="D74" s="21" t="n">
        <f aca="false">SUM($D$12:D21)</f>
        <v>52</v>
      </c>
    </row>
    <row r="75" customFormat="false" ht="15" hidden="false" customHeight="false" outlineLevel="0" collapsed="false">
      <c r="B75" s="21" t="str">
        <f aca="false">B22</f>
        <v>Nov</v>
      </c>
      <c r="C75" s="21" t="n">
        <f aca="false">SUM($C$12:C22)</f>
        <v>99</v>
      </c>
      <c r="D75" s="21" t="n">
        <f aca="false">SUM($D$12:D22)</f>
        <v>52</v>
      </c>
    </row>
    <row r="76" customFormat="false" ht="15" hidden="false" customHeight="false" outlineLevel="0" collapsed="false">
      <c r="B76" s="21" t="str">
        <f aca="false">B23</f>
        <v>Dic</v>
      </c>
      <c r="C76" s="21" t="n">
        <f aca="false">SUM($C$12:C23)</f>
        <v>110</v>
      </c>
      <c r="D76" s="21" t="n">
        <f aca="false">SUM($D$12:D23)</f>
        <v>52</v>
      </c>
    </row>
  </sheetData>
  <mergeCells count="27">
    <mergeCell ref="B6:C6"/>
    <mergeCell ref="I6:J6"/>
    <mergeCell ref="K6:L6"/>
    <mergeCell ref="B8:C8"/>
    <mergeCell ref="I8:J8"/>
    <mergeCell ref="K8:L8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C51:F51"/>
  </mergeCells>
  <conditionalFormatting sqref="F8">
    <cfRule type="expression" priority="2" aboveAverage="0" equalAverage="0" bottom="0" percent="0" rank="0" text="" dxfId="16">
      <formula>AND(F8&lt;&gt;"",F8&gt;=Datos!$C$16)</formula>
    </cfRule>
    <cfRule type="expression" priority="3" aboveAverage="0" equalAverage="0" bottom="0" percent="0" rank="0" text="" dxfId="18">
      <formula>AND(F8&lt;&gt;"",F8&gt;=Datos!$C$17,F8&lt;Datos!$C$16)</formula>
    </cfRule>
    <cfRule type="expression" priority="4" aboveAverage="0" equalAverage="0" bottom="0" percent="0" rank="0" text="" dxfId="17">
      <formula>AND(F8&lt;&gt;"",F8&lt;Datos!$C$17)</formula>
    </cfRule>
  </conditionalFormatting>
  <conditionalFormatting sqref="E12:E23">
    <cfRule type="expression" priority="5" aboveAverage="0" equalAverage="0" bottom="0" percent="0" rank="0" text="" dxfId="16">
      <formula>AND(E12&lt;&gt;"",E12&gt;=Datos!$C$16)</formula>
    </cfRule>
    <cfRule type="expression" priority="6" aboveAverage="0" equalAverage="0" bottom="0" percent="0" rank="0" text="" dxfId="18">
      <formula>AND(E12&lt;&gt;"",E12&gt;=Datos!$C$17,E12&lt;Datos!$C$16)</formula>
    </cfRule>
    <cfRule type="expression" priority="7" aboveAverage="0" equalAverage="0" bottom="0" percent="0" rank="0" text="" dxfId="17">
      <formula>AND(E12&lt;&gt;"",E12&lt;Datos!$C$17)</formula>
    </cfRule>
  </conditionalFormatting>
  <conditionalFormatting sqref="G12:G23">
    <cfRule type="expression" priority="8" aboveAverage="0" equalAverage="0" bottom="0" percent="0" rank="0" text="" dxfId="16">
      <formula>AND(G12&lt;&gt;"",G12&gt;=Datos!$C$16)</formula>
    </cfRule>
    <cfRule type="expression" priority="9" aboveAverage="0" equalAverage="0" bottom="0" percent="0" rank="0" text="" dxfId="18">
      <formula>AND(G12&lt;&gt;"",G12&gt;=Datos!$C$17,G12&lt;Datos!$C$16)</formula>
    </cfRule>
    <cfRule type="expression" priority="10" aboveAverage="0" equalAverage="0" bottom="0" percent="0" rank="0" text="" dxfId="17">
      <formula>AND(G12&lt;&gt;"",G12&lt;Datos!$C$17)</formula>
    </cfRule>
  </conditionalFormatting>
  <conditionalFormatting sqref="K12:K15">
    <cfRule type="expression" priority="11" aboveAverage="0" equalAverage="0" bottom="0" percent="0" rank="0" text="" dxfId="16">
      <formula>AND(K12&lt;&gt;"",K12&gt;=Datos!$C$16)</formula>
    </cfRule>
    <cfRule type="expression" priority="12" aboveAverage="0" equalAverage="0" bottom="0" percent="0" rank="0" text="" dxfId="18">
      <formula>AND(K12&lt;&gt;"",K12&gt;=Datos!$C$17,K12&lt;Datos!$C$16)</formula>
    </cfRule>
    <cfRule type="expression" priority="13" aboveAverage="0" equalAverage="0" bottom="0" percent="0" rank="0" text="" dxfId="17">
      <formula>AND(K12&lt;&gt;"",K12&lt;Datos!$C$17)</formula>
    </cfRule>
  </conditionalFormatting>
  <conditionalFormatting sqref="K19:K25">
    <cfRule type="expression" priority="14" aboveAverage="0" equalAverage="0" bottom="0" percent="0" rank="0" text="" dxfId="16">
      <formula>AND(K19&lt;&gt;"",K19&gt;=Datos!$C$16)</formula>
    </cfRule>
    <cfRule type="expression" priority="15" aboveAverage="0" equalAverage="0" bottom="0" percent="0" rank="0" text="" dxfId="18">
      <formula>AND(K19&lt;&gt;"",K19&gt;=Datos!$C$17,K19&lt;Datos!$C$16)</formula>
    </cfRule>
    <cfRule type="expression" priority="16" aboveAverage="0" equalAverage="0" bottom="0" percent="0" rank="0" text="" dxfId="17">
      <formula>AND(K19&lt;&gt;"",K19&lt;Datos!$C$17)</formula>
    </cfRule>
  </conditionalFormatting>
  <conditionalFormatting sqref="G28:G47">
    <cfRule type="expression" priority="17" aboveAverage="0" equalAverage="0" bottom="0" percent="0" rank="0" text="" dxfId="16">
      <formula>AND(G28&lt;&gt;"",G28&gt;=Datos!$C$16)</formula>
    </cfRule>
    <cfRule type="expression" priority="18" aboveAverage="0" equalAverage="0" bottom="0" percent="0" rank="0" text="" dxfId="18">
      <formula>AND(G28&lt;&gt;"",G28&gt;=Datos!$C$17,G28&lt;Datos!$C$16)</formula>
    </cfRule>
    <cfRule type="expression" priority="19" aboveAverage="0" equalAverage="0" bottom="0" percent="0" rank="0" text="" dxfId="17">
      <formula>AND(G28&lt;&gt;"",G28&lt;Datos!$C$17)</formula>
    </cfRule>
  </conditionalFormatting>
  <conditionalFormatting sqref="C55">
    <cfRule type="expression" priority="20" aboveAverage="0" equalAverage="0" bottom="0" percent="0" rank="0" text="" dxfId="16">
      <formula>AND(C55&lt;&gt;"",C55&gt;=Datos!$C$16)</formula>
    </cfRule>
    <cfRule type="expression" priority="21" aboveAverage="0" equalAverage="0" bottom="0" percent="0" rank="0" text="" dxfId="18">
      <formula>AND(C55&lt;&gt;"",C55&gt;=Datos!$C$17,C55&lt;Datos!$C$16)</formula>
    </cfRule>
    <cfRule type="expression" priority="22" aboveAverage="0" equalAverage="0" bottom="0" percent="0" rank="0" text="" dxfId="17">
      <formula>AND(C55&lt;&gt;"",C55&lt;Datos!$C$17)</formula>
    </cfRule>
  </conditionalFormatting>
  <dataValidations count="1">
    <dataValidation allowBlank="false" errorStyle="stop" operator="between" showDropDown="false" showErrorMessage="false" showInputMessage="false" sqref="C51" type="list">
      <formula1>$B$28:$B$47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&amp;CASEGURA SIG · WhatsApp 302 337 9738 · asegurasig.2026@asegurasig.com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566B"/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2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2" t="s">
        <v>0</v>
      </c>
    </row>
    <row r="2" customFormat="false" ht="33.75" hidden="false" customHeight="true" outlineLevel="0" collapsed="false">
      <c r="A2" s="1"/>
      <c r="B2" s="1"/>
      <c r="C2" s="3" t="s">
        <v>281</v>
      </c>
      <c r="D2" s="1"/>
      <c r="E2" s="1"/>
      <c r="F2" s="1"/>
    </row>
    <row r="3" customFormat="false" ht="21.75" hidden="false" customHeight="true" outlineLevel="0" collapsed="false">
      <c r="A3" s="1"/>
      <c r="B3" s="1"/>
      <c r="C3" s="4" t="s">
        <v>282</v>
      </c>
      <c r="D3" s="1"/>
      <c r="E3" s="1"/>
      <c r="F3" s="5" t="s">
        <v>3</v>
      </c>
    </row>
    <row r="4" customFormat="false" ht="21.75" hidden="false" customHeight="true" outlineLevel="0" collapsed="false">
      <c r="A4" s="1"/>
      <c r="B4" s="1"/>
      <c r="C4" s="1"/>
      <c r="D4" s="1"/>
      <c r="E4" s="1"/>
      <c r="F4" s="1"/>
    </row>
    <row r="6" customFormat="false" ht="15" hidden="false" customHeight="false" outlineLevel="0" collapsed="false">
      <c r="A6" s="53" t="s">
        <v>60</v>
      </c>
      <c r="B6" s="53" t="s">
        <v>61</v>
      </c>
      <c r="C6" s="53" t="s">
        <v>62</v>
      </c>
      <c r="D6" s="53" t="s">
        <v>66</v>
      </c>
      <c r="E6" s="53" t="s">
        <v>68</v>
      </c>
      <c r="F6" s="53" t="s">
        <v>283</v>
      </c>
    </row>
    <row r="7" customFormat="false" ht="15" hidden="false" customHeight="false" outlineLevel="0" collapsed="false">
      <c r="A7" s="54" t="s">
        <v>89</v>
      </c>
      <c r="B7" s="54" t="s">
        <v>66</v>
      </c>
      <c r="C7" s="54" t="s">
        <v>91</v>
      </c>
      <c r="D7" s="54" t="s">
        <v>95</v>
      </c>
      <c r="E7" s="54" t="s">
        <v>284</v>
      </c>
      <c r="F7" s="54" t="s">
        <v>89</v>
      </c>
    </row>
    <row r="8" customFormat="false" ht="15" hidden="false" customHeight="false" outlineLevel="0" collapsed="false">
      <c r="A8" s="54" t="s">
        <v>130</v>
      </c>
      <c r="B8" s="54" t="s">
        <v>90</v>
      </c>
      <c r="C8" s="54" t="s">
        <v>121</v>
      </c>
      <c r="D8" s="54" t="s">
        <v>114</v>
      </c>
      <c r="E8" s="54" t="s">
        <v>146</v>
      </c>
      <c r="F8" s="54" t="s">
        <v>98</v>
      </c>
    </row>
    <row r="9" customFormat="false" ht="15" hidden="false" customHeight="false" outlineLevel="0" collapsed="false">
      <c r="A9" s="54" t="s">
        <v>221</v>
      </c>
      <c r="B9" s="54" t="s">
        <v>152</v>
      </c>
      <c r="C9" s="54" t="s">
        <v>117</v>
      </c>
      <c r="D9" s="54" t="s">
        <v>195</v>
      </c>
      <c r="E9" s="54" t="s">
        <v>139</v>
      </c>
      <c r="F9" s="54" t="s">
        <v>141</v>
      </c>
    </row>
    <row r="10" customFormat="false" ht="15" hidden="false" customHeight="false" outlineLevel="0" collapsed="false">
      <c r="A10" s="54" t="s">
        <v>103</v>
      </c>
      <c r="B10" s="54" t="s">
        <v>116</v>
      </c>
      <c r="C10" s="54" t="s">
        <v>131</v>
      </c>
      <c r="D10" s="54" t="s">
        <v>110</v>
      </c>
      <c r="E10" s="54" t="s">
        <v>151</v>
      </c>
    </row>
    <row r="11" customFormat="false" ht="15" hidden="false" customHeight="false" outlineLevel="0" collapsed="false">
      <c r="B11" s="54" t="s">
        <v>180</v>
      </c>
      <c r="C11" s="54" t="s">
        <v>142</v>
      </c>
      <c r="D11" s="54" t="s">
        <v>138</v>
      </c>
      <c r="E11" s="54" t="s">
        <v>124</v>
      </c>
    </row>
    <row r="12" customFormat="false" ht="15" hidden="false" customHeight="false" outlineLevel="0" collapsed="false">
      <c r="B12" s="54" t="s">
        <v>222</v>
      </c>
      <c r="C12" s="54" t="s">
        <v>153</v>
      </c>
      <c r="D12" s="54" t="s">
        <v>285</v>
      </c>
      <c r="E12" s="54" t="s">
        <v>96</v>
      </c>
    </row>
    <row r="13" customFormat="false" ht="15" hidden="false" customHeight="false" outlineLevel="0" collapsed="false">
      <c r="B13" s="54" t="s">
        <v>104</v>
      </c>
      <c r="C13" s="54" t="s">
        <v>160</v>
      </c>
      <c r="D13" s="54" t="s">
        <v>163</v>
      </c>
      <c r="E13" s="54" t="s">
        <v>286</v>
      </c>
    </row>
    <row r="14" customFormat="false" ht="15" hidden="false" customHeight="false" outlineLevel="0" collapsed="false">
      <c r="C14" s="54" t="s">
        <v>165</v>
      </c>
    </row>
    <row r="15" customFormat="false" ht="15" hidden="false" customHeight="false" outlineLevel="0" collapsed="false">
      <c r="C15" s="54" t="s">
        <v>170</v>
      </c>
    </row>
    <row r="16" customFormat="false" ht="15" hidden="false" customHeight="false" outlineLevel="0" collapsed="false">
      <c r="C16" s="54" t="s">
        <v>175</v>
      </c>
    </row>
    <row r="17" customFormat="false" ht="15" hidden="false" customHeight="false" outlineLevel="0" collapsed="false">
      <c r="C17" s="54" t="s">
        <v>181</v>
      </c>
    </row>
    <row r="18" customFormat="false" ht="15" hidden="false" customHeight="false" outlineLevel="0" collapsed="false">
      <c r="C18" s="54" t="s">
        <v>197</v>
      </c>
    </row>
    <row r="19" customFormat="false" ht="15" hidden="false" customHeight="false" outlineLevel="0" collapsed="false">
      <c r="C19" s="54" t="s">
        <v>202</v>
      </c>
    </row>
    <row r="20" customFormat="false" ht="15" hidden="false" customHeight="false" outlineLevel="0" collapsed="false">
      <c r="C20" s="54" t="s">
        <v>207</v>
      </c>
    </row>
    <row r="21" customFormat="false" ht="15" hidden="false" customHeight="false" outlineLevel="0" collapsed="false">
      <c r="C21" s="54" t="s">
        <v>211</v>
      </c>
    </row>
    <row r="22" customFormat="false" ht="15" hidden="false" customHeight="false" outlineLevel="0" collapsed="false">
      <c r="C22" s="54" t="s">
        <v>223</v>
      </c>
    </row>
    <row r="23" customFormat="false" ht="15" hidden="false" customHeight="false" outlineLevel="0" collapsed="false">
      <c r="C23" s="54" t="s">
        <v>227</v>
      </c>
    </row>
    <row r="24" customFormat="false" ht="15" hidden="false" customHeight="false" outlineLevel="0" collapsed="false">
      <c r="C24" s="54" t="s">
        <v>232</v>
      </c>
    </row>
    <row r="25" customFormat="false" ht="15" hidden="false" customHeight="false" outlineLevel="0" collapsed="false">
      <c r="C25" s="54" t="s">
        <v>236</v>
      </c>
    </row>
    <row r="26" customFormat="false" ht="15" hidden="false" customHeight="false" outlineLevel="0" collapsed="false">
      <c r="C26" s="54" t="s">
        <v>216</v>
      </c>
    </row>
    <row r="31" customFormat="false" ht="15" hidden="false" customHeight="false" outlineLevel="0" collapsed="false">
      <c r="A31" s="14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&amp;CASEGURA SIG · WhatsApp 302 337 9738 · asegurasig.2026@asegurasig.com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342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32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/>
      <c r="B1" s="1"/>
      <c r="C1" s="1"/>
      <c r="D1" s="1"/>
      <c r="E1" s="1"/>
      <c r="F1" s="2" t="s">
        <v>0</v>
      </c>
    </row>
    <row r="2" customFormat="false" ht="33.75" hidden="false" customHeight="true" outlineLevel="0" collapsed="false">
      <c r="A2" s="1"/>
      <c r="B2" s="1"/>
      <c r="C2" s="3" t="s">
        <v>288</v>
      </c>
      <c r="D2" s="1"/>
      <c r="E2" s="1"/>
      <c r="F2" s="1"/>
    </row>
    <row r="3" customFormat="false" ht="21.75" hidden="false" customHeight="true" outlineLevel="0" collapsed="false">
      <c r="A3" s="1"/>
      <c r="B3" s="1"/>
      <c r="C3" s="4" t="s">
        <v>289</v>
      </c>
      <c r="D3" s="1"/>
      <c r="E3" s="1"/>
      <c r="F3" s="5" t="s">
        <v>3</v>
      </c>
    </row>
    <row r="4" customFormat="false" ht="21.75" hidden="false" customHeight="true" outlineLevel="0" collapsed="false">
      <c r="A4" s="1"/>
      <c r="B4" s="1"/>
      <c r="C4" s="1"/>
      <c r="D4" s="1"/>
      <c r="E4" s="1"/>
      <c r="F4" s="1"/>
    </row>
    <row r="6" customFormat="false" ht="15" hidden="false" customHeight="false" outlineLevel="0" collapsed="false">
      <c r="B6" s="44" t="s">
        <v>290</v>
      </c>
      <c r="C6" s="55" t="n">
        <f aca="false">Datos!$C$13</f>
        <v>2027</v>
      </c>
    </row>
    <row r="7" customFormat="false" ht="15" hidden="false" customHeight="false" outlineLevel="0" collapsed="false">
      <c r="B7" s="44" t="s">
        <v>291</v>
      </c>
      <c r="C7" s="55" t="str">
        <f aca="false">Datos!$C$6</f>
        <v>Empresa Ejemplo S.A.S. (caso hipotético)</v>
      </c>
    </row>
    <row r="8" customFormat="false" ht="15" hidden="false" customHeight="false" outlineLevel="0" collapsed="false">
      <c r="B8" s="44" t="s">
        <v>292</v>
      </c>
      <c r="C8" s="56" t="n">
        <f aca="false">COUNTA(Plan!$E$7:$E$56)</f>
        <v>32</v>
      </c>
    </row>
    <row r="9" customFormat="false" ht="15" hidden="false" customHeight="false" outlineLevel="0" collapsed="false">
      <c r="B9" s="44" t="s">
        <v>293</v>
      </c>
      <c r="C9" s="56" t="n">
        <f aca="false">SUM(Plan!$X$7:$X$56)</f>
        <v>110</v>
      </c>
    </row>
    <row r="10" customFormat="false" ht="15" hidden="false" customHeight="false" outlineLevel="0" collapsed="false">
      <c r="B10" s="44" t="s">
        <v>294</v>
      </c>
      <c r="C10" s="57" t="n">
        <f aca="false">SUM(Plan!$I$7:$I$56)</f>
        <v>24100000</v>
      </c>
    </row>
    <row r="16" customFormat="false" ht="15" hidden="false" customHeight="false" outlineLevel="0" collapsed="false">
      <c r="B16" s="58" t="s">
        <v>295</v>
      </c>
      <c r="E16" s="58" t="s">
        <v>295</v>
      </c>
    </row>
    <row r="17" customFormat="false" ht="15" hidden="false" customHeight="false" outlineLevel="0" collapsed="false">
      <c r="B17" s="44" t="s">
        <v>296</v>
      </c>
      <c r="E17" s="44" t="s">
        <v>43</v>
      </c>
    </row>
    <row r="18" customFormat="false" ht="15" hidden="false" customHeight="false" outlineLevel="0" collapsed="false">
      <c r="B18" s="59" t="n">
        <f aca="false">Datos!$C$12</f>
        <v>0</v>
      </c>
      <c r="E18" s="59" t="n">
        <f aca="false">Datos!$C$11</f>
        <v>0</v>
      </c>
    </row>
    <row r="19" customFormat="false" ht="15" hidden="false" customHeight="false" outlineLevel="0" collapsed="false">
      <c r="B19" s="59" t="s">
        <v>297</v>
      </c>
      <c r="E19" s="59" t="s">
        <v>297</v>
      </c>
    </row>
    <row r="22" customFormat="false" ht="15" hidden="false" customHeight="false" outlineLevel="0" collapsed="false">
      <c r="B22" s="34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&amp;CASEGURA SIG · WhatsApp 302 337 9738 · asegurasig.2026@asegurasig.com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2026-10-18T02:09:36Z</dcterms:created>
  <dc:creator>openpyxl</dc:creator>
  <dc:description/>
  <dc:language>en-US</dc:language>
  <cp:lastModifiedBy/>
  <dcterms:modified xsi:type="dcterms:W3CDTF">2026-10-17T21:09:38Z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