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Escalas" sheetId="2" state="visible" r:id="rId2"/>
    <sheet xmlns:r="http://schemas.openxmlformats.org/officeDocument/2006/relationships" name="Matriz" sheetId="3" state="visible" r:id="rId3"/>
    <sheet xmlns:r="http://schemas.openxmlformats.org/officeDocument/2006/relationships" name="Plan F0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ontserrat"/>
      <b val="1"/>
      <color rgb="000A2342"/>
      <sz val="16"/>
    </font>
    <font>
      <name val="Inter"/>
      <color rgb="0043566B"/>
      <sz val="10"/>
    </font>
    <font>
      <b val="1"/>
      <color rgb="002fbf71"/>
      <sz val="10"/>
    </font>
    <font>
      <color rgb="000A2342"/>
      <sz val="11"/>
    </font>
    <font>
      <b val="1"/>
      <color rgb="000A2342"/>
      <sz val="11"/>
    </font>
    <font>
      <b val="1"/>
      <color rgb="00FFFFFF"/>
    </font>
    <font>
      <b val="1"/>
      <color rgb="00FFFFFF"/>
      <sz val="10"/>
    </font>
    <font>
      <sz val="9.5"/>
    </font>
    <font>
      <b val="1"/>
      <i val="1"/>
      <color rgb="00F28C28"/>
    </font>
  </fonts>
  <fills count="3">
    <fill>
      <patternFill/>
    </fill>
    <fill>
      <patternFill patternType="gray125"/>
    </fill>
    <fill>
      <patternFill patternType="solid">
        <fgColor rgb="000A2342"/>
      </patternFill>
    </fill>
  </fills>
  <borders count="2">
    <border>
      <left/>
      <right/>
      <top/>
      <bottom/>
      <diagonal/>
    </border>
    <border>
      <left style="thin">
        <color rgb="00C9D3DD"/>
      </left>
      <right style="thin">
        <color rgb="00C9D3DD"/>
      </right>
      <top style="thin">
        <color rgb="00C9D3DD"/>
      </top>
      <bottom style="thin">
        <color rgb="00C9D3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wrapText="1"/>
    </xf>
    <xf numFmtId="0" fontId="5" fillId="0" borderId="0" applyAlignment="1" pivotButton="0" quotePrefix="0" xfId="0">
      <alignment wrapText="1"/>
    </xf>
    <xf numFmtId="0" fontId="6" fillId="2" borderId="1" pivotButton="0" quotePrefix="0" xfId="0"/>
    <xf numFmtId="0" fontId="0" fillId="0" borderId="1" applyAlignment="1" pivotButton="0" quotePrefix="0" xfId="0">
      <alignment vertical="top" wrapText="1"/>
    </xf>
    <xf numFmtId="0" fontId="9" fillId="0" borderId="0" pivotButton="0" quotePrefix="0" xfId="0"/>
    <xf numFmtId="0" fontId="7" fillId="2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top" wrapText="1"/>
    </xf>
    <xf numFmtId="0" fontId="8" fillId="0" borderId="1" applyAlignment="1" pivotButton="0" quotePrefix="0" xfId="0">
      <alignment horizontal="left" vertical="top" wrapText="1"/>
    </xf>
    <xf numFmtId="0" fontId="0" fillId="0" borderId="1" pivotButton="0" quotePrefix="0" xfId="0"/>
  </cellXfs>
  <cellStyles count="1">
    <cellStyle name="Normal" xfId="0" builtinId="0" hidden="0"/>
  </cellStyles>
  <dxfs count="4">
    <dxf>
      <font>
        <b val="1"/>
        <color rgb="00FFFFFF"/>
      </font>
      <fill>
        <patternFill patternType="solid">
          <fgColor rgb="00e04848"/>
        </patternFill>
      </fill>
    </dxf>
    <dxf>
      <font>
        <b val="1"/>
        <color rgb="00FFFFFF"/>
      </font>
      <fill>
        <patternFill patternType="solid">
          <fgColor rgb="00F28C28"/>
        </patternFill>
      </fill>
    </dxf>
    <dxf>
      <font>
        <b val="1"/>
        <color rgb="00FFFFFF"/>
      </font>
      <fill>
        <patternFill patternType="solid">
          <fgColor rgb="002fbf71"/>
        </patternFill>
      </fill>
    </dxf>
    <dxf>
      <font>
        <b val="1"/>
        <color rgb="00e04848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914400" cy="6096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914400" cy="6096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0</row>
      <rowOff>0</rowOff>
    </from>
    <ext cx="914400" cy="6096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0</row>
      <rowOff>0</rowOff>
    </from>
    <ext cx="914400" cy="6096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13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20" customWidth="1" min="2" max="2"/>
  </cols>
  <sheetData>
    <row r="1" ht="26" customHeight="1">
      <c r="C1" s="1" t="inlineStr">
        <is>
          <t>Matriz de aspectos e impactos ambientales · Método ASEGURA</t>
        </is>
      </c>
    </row>
    <row r="2">
      <c r="C2" s="2" t="inlineStr">
        <is>
          <t>ISO 14001:2026 · Plantilla gratuita de ASEGURA SIG</t>
        </is>
      </c>
    </row>
    <row r="3">
      <c r="C3" s="3" t="inlineStr">
        <is>
          <t>💬 WhatsApp 302 337 9738 · 📧 asegurasig.2026@asegurasig.com</t>
        </is>
      </c>
    </row>
    <row r="6">
      <c r="B6" s="4" t="inlineStr">
        <is>
          <t>1. Hoja «Escalas»: revise y ajuste los criterios F, S, A, R (1, 3, 5). Documente cualquier cambio.</t>
        </is>
      </c>
    </row>
    <row r="7">
      <c r="B7" s="4" t="inlineStr">
        <is>
          <t>2. Hoja «Matriz»: una fila por actividad + condición (N, A, E) + aspecto + impacto.</t>
        </is>
      </c>
    </row>
    <row r="8">
      <c r="B8" s="4" t="inlineStr">
        <is>
          <t>3. Califique F, S, A y R con las listas desplegables. El IA, el nivel y la significancia se calculan solos.</t>
        </is>
      </c>
    </row>
    <row r="9">
      <c r="B9" s="4" t="inlineStr">
        <is>
          <t>4. Marque los filtros: L (aspecto regulado), P (queja o exigencia de partes interesadas), E (emergencia con S = 5 → automático), D (decisión de la dirección).</t>
        </is>
      </c>
    </row>
    <row r="10">
      <c r="B10" s="4" t="inlineStr">
        <is>
          <t>5. Significativo = IA ≥ 45 o cualquier filtro en «SÍ».</t>
        </is>
      </c>
    </row>
    <row r="11">
      <c r="B11" s="4" t="inlineStr">
        <is>
          <t>6. Hoja «Plan F03»: registre control, responsable, fecha e indicador de cada aspecto significativo.</t>
        </is>
      </c>
    </row>
    <row r="12">
      <c r="B12" s="4" t="inlineStr">
        <is>
          <t>7. Las filas 1 a 14 traen un CASO HIPOTÉTICO (empresa ficticia). Bórrelas o reemplácelas con sus datos.</t>
        </is>
      </c>
    </row>
    <row r="13">
      <c r="B13" s="5" t="inlineStr">
        <is>
          <t>Guía completa paso a paso: «Guía · Aspectos e impactos ambientales · Método ASEGURA» (PDF).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E10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38" customWidth="1" min="3" max="3"/>
    <col width="38" customWidth="1" min="4" max="4"/>
    <col width="46" customWidth="1" min="5" max="5"/>
  </cols>
  <sheetData>
    <row r="1" ht="26" customHeight="1">
      <c r="C1" s="1" t="inlineStr">
        <is>
          <t>Escalas de calificación · Método ASEGURA</t>
        </is>
      </c>
    </row>
    <row r="2">
      <c r="C2" s="2" t="inlineStr">
        <is>
          <t>IA = F × (S + A + R) · Baja 3–20 · Moderada 21–44 · Alta 45–75</t>
        </is>
      </c>
    </row>
    <row r="3">
      <c r="C3" s="3" t="inlineStr">
        <is>
          <t>💬 WhatsApp 302 337 9738 · 📧 asegurasig.2026@asegurasig.com</t>
        </is>
      </c>
    </row>
    <row r="6">
      <c r="B6" s="6" t="inlineStr">
        <is>
          <t>Criterio</t>
        </is>
      </c>
      <c r="C6" s="6" t="inlineStr">
        <is>
          <t>1 · Bajo</t>
        </is>
      </c>
      <c r="D6" s="6" t="inlineStr">
        <is>
          <t>3 · Medio</t>
        </is>
      </c>
      <c r="E6" s="6" t="inlineStr">
        <is>
          <t>5 · Alto</t>
        </is>
      </c>
    </row>
    <row r="7" ht="48" customHeight="1">
      <c r="B7" s="7" t="inlineStr">
        <is>
          <t>F · Frecuencia / probabilidad</t>
        </is>
      </c>
      <c r="C7" s="7" t="inlineStr">
        <is>
          <t>Una vez al año o menos. Emergencia improbable.</t>
        </is>
      </c>
      <c r="D7" s="7" t="inlineStr">
        <is>
          <t>Mensual o semanal. Emergencia posible.</t>
        </is>
      </c>
      <c r="E7" s="7" t="inlineStr">
        <is>
          <t>Diaria o continua. Emergencia probable o con antecedentes.</t>
        </is>
      </c>
    </row>
    <row r="8" ht="48" customHeight="1">
      <c r="B8" s="7" t="inlineStr">
        <is>
          <t>S · Severidad</t>
        </is>
      </c>
      <c r="C8" s="7" t="inlineStr">
        <is>
          <t>Efecto leve, sin daño apreciable.</t>
        </is>
      </c>
      <c r="D8" s="7" t="inlineStr">
        <is>
          <t>Efecto moderado y controlable.</t>
        </is>
      </c>
      <c r="E8" s="7" t="inlineStr">
        <is>
          <t>Sustancias peligrosas, daño grave o posible superación de límites legales.</t>
        </is>
      </c>
    </row>
    <row r="9" ht="48" customHeight="1">
      <c r="B9" s="7" t="inlineStr">
        <is>
          <t>A · Alcance</t>
        </is>
      </c>
      <c r="C9" s="7" t="inlineStr">
        <is>
          <t>Puntual: dentro del área.</t>
        </is>
      </c>
      <c r="D9" s="7" t="inlineStr">
        <is>
          <t>Local: dentro de la sede o vecinos inmediatos.</t>
        </is>
      </c>
      <c r="E9" s="7" t="inlineStr">
        <is>
          <t>Regional: fuera de la sede.</t>
        </is>
      </c>
    </row>
    <row r="10" ht="48" customHeight="1">
      <c r="B10" s="7" t="inlineStr">
        <is>
          <t>R · Reversibilidad</t>
        </is>
      </c>
      <c r="C10" s="7" t="inlineStr">
        <is>
          <t>Se recupera en menos de un mes.</t>
        </is>
      </c>
      <c r="D10" s="7" t="inlineStr">
        <is>
          <t>Se recupera en meses.</t>
        </is>
      </c>
      <c r="E10" s="7" t="inlineStr">
        <is>
          <t>Irreversible o más de un año.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66"/>
  <sheetViews>
    <sheetView showGridLines="0" workbookViewId="0">
      <pane xSplit="4" ySplit="6" topLeftCell="E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16" customWidth="1" min="2" max="2"/>
    <col width="24" customWidth="1" min="3" max="3"/>
    <col width="8" customWidth="1" min="4" max="4"/>
    <col width="30" customWidth="1" min="5" max="5"/>
    <col width="28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6" customWidth="1" min="12" max="12"/>
    <col width="11" customWidth="1" min="13" max="13"/>
    <col width="9" customWidth="1" min="14" max="14"/>
    <col width="9" customWidth="1" min="15" max="15"/>
    <col width="9" customWidth="1" min="16" max="16"/>
    <col width="9" customWidth="1" min="17" max="17"/>
    <col width="10" customWidth="1" min="18" max="18"/>
    <col width="18" customWidth="1" min="19" max="19"/>
    <col width="40" customWidth="1" min="20" max="20"/>
  </cols>
  <sheetData>
    <row r="1" ht="26" customHeight="1">
      <c r="C1" s="1" t="inlineStr">
        <is>
          <t>F02 · Matriz de identificación, evaluación y valoración</t>
        </is>
      </c>
    </row>
    <row r="2">
      <c r="C2" s="2" t="inlineStr">
        <is>
          <t>Código ASG-AMB-F02 · Versión 1</t>
        </is>
      </c>
    </row>
    <row r="3">
      <c r="C3" s="3" t="inlineStr">
        <is>
          <t>💬 WhatsApp 302 337 9738 · 📧 asegurasig.2026@asegurasig.com</t>
        </is>
      </c>
    </row>
    <row r="4">
      <c r="C4" s="8" t="inlineStr">
        <is>
          <t>Filas 1 a 14: caso hipotético (empresa ficticia «Metalmecánica Andina S.A.S.»). Reemplácelas con sus datos.</t>
        </is>
      </c>
    </row>
    <row r="6" ht="42" customHeight="1">
      <c r="A6" s="9" t="inlineStr">
        <is>
          <t>#</t>
        </is>
      </c>
      <c r="B6" s="9" t="inlineStr">
        <is>
          <t>Proceso</t>
        </is>
      </c>
      <c r="C6" s="9" t="inlineStr">
        <is>
          <t>Actividad</t>
        </is>
      </c>
      <c r="D6" s="9" t="inlineStr">
        <is>
          <t>Cond. (N/A/E)</t>
        </is>
      </c>
      <c r="E6" s="9" t="inlineStr">
        <is>
          <t>Aspecto ambiental</t>
        </is>
      </c>
      <c r="F6" s="9" t="inlineStr">
        <is>
          <t>Impacto ambiental</t>
        </is>
      </c>
      <c r="G6" s="9" t="inlineStr">
        <is>
          <t xml:space="preserve">± </t>
        </is>
      </c>
      <c r="H6" s="9" t="inlineStr">
        <is>
          <t>F</t>
        </is>
      </c>
      <c r="I6" s="9" t="inlineStr">
        <is>
          <t>S</t>
        </is>
      </c>
      <c r="J6" s="9" t="inlineStr">
        <is>
          <t>A</t>
        </is>
      </c>
      <c r="K6" s="9" t="inlineStr">
        <is>
          <t>R</t>
        </is>
      </c>
      <c r="L6" s="9" t="inlineStr">
        <is>
          <t>IA</t>
        </is>
      </c>
      <c r="M6" s="9" t="inlineStr">
        <is>
          <t>Nivel</t>
        </is>
      </c>
      <c r="N6" s="9" t="inlineStr">
        <is>
          <t>Filtro L (regulado)</t>
        </is>
      </c>
      <c r="O6" s="9" t="inlineStr">
        <is>
          <t>Filtro P (partes int.)</t>
        </is>
      </c>
      <c r="P6" s="9" t="inlineStr">
        <is>
          <t>Filtro E (emerg. S=5)</t>
        </is>
      </c>
      <c r="Q6" s="9" t="inlineStr">
        <is>
          <t>Filtro D (dirección)</t>
        </is>
      </c>
      <c r="R6" s="9" t="inlineStr">
        <is>
          <t>¿Significativo?</t>
        </is>
      </c>
      <c r="S6" s="9" t="inlineStr">
        <is>
          <t>Motivo</t>
        </is>
      </c>
      <c r="T6" s="9" t="inlineStr">
        <is>
          <t>Control propuesto</t>
        </is>
      </c>
    </row>
    <row r="7">
      <c r="A7" s="10" t="n">
        <v>1</v>
      </c>
      <c r="B7" s="11" t="inlineStr">
        <is>
          <t>Mecanizado CNC</t>
        </is>
      </c>
      <c r="C7" s="11" t="inlineStr">
        <is>
          <t>Operación de tornos y centros de mecanizado</t>
        </is>
      </c>
      <c r="D7" s="10" t="inlineStr">
        <is>
          <t>N</t>
        </is>
      </c>
      <c r="E7" s="11" t="inlineStr">
        <is>
          <t>Consumo de energía eléctrica</t>
        </is>
      </c>
      <c r="F7" s="11" t="inlineStr">
        <is>
          <t>Agotamiento de recursos naturales</t>
        </is>
      </c>
      <c r="G7" s="10" t="inlineStr">
        <is>
          <t>−</t>
        </is>
      </c>
      <c r="H7" s="10" t="n">
        <v>5</v>
      </c>
      <c r="I7" s="10" t="n">
        <v>3</v>
      </c>
      <c r="J7" s="10" t="n">
        <v>3</v>
      </c>
      <c r="K7" s="10" t="n">
        <v>3</v>
      </c>
      <c r="L7" s="10">
        <f>IF(COUNT(H7:K7)=4,H7*(I7+J7+K7),"")</f>
        <v/>
      </c>
      <c r="M7" s="10">
        <f>IF(L7="","",IF(L7&gt;=45,"Alta",IF(L7&gt;=21,"Moderada","Baja")))</f>
        <v/>
      </c>
      <c r="N7" s="10" t="inlineStr">
        <is>
          <t>NO</t>
        </is>
      </c>
      <c r="O7" s="10" t="inlineStr">
        <is>
          <t>NO</t>
        </is>
      </c>
      <c r="P7" s="10">
        <f>IF(AND(D7="E",I7=5),"SÍ","NO")</f>
        <v/>
      </c>
      <c r="Q7" s="10" t="inlineStr">
        <is>
          <t>NO</t>
        </is>
      </c>
      <c r="R7" s="10">
        <f>IF(L7="","",IF(OR(L7&gt;=45,N7="SÍ",O7="SÍ",P7="SÍ",Q7="SÍ"),"SÍ","NO"))</f>
        <v/>
      </c>
      <c r="S7" s="11">
        <f>IF(R7&lt;&gt;"SÍ","",TRIM(IF(L7&gt;=45,"IA≥45 ","")&amp;IF(N7="SÍ","Regulado ","")&amp;IF(O7="SÍ","Queja PI ","")&amp;IF(P7="SÍ","Emergencia ","")&amp;IF(Q7="SÍ","Dirección","")))</f>
        <v/>
      </c>
      <c r="T7" s="11" t="inlineStr">
        <is>
          <t>Programa de uso eficiente de energía; apagado programado; seguimiento kWh/t</t>
        </is>
      </c>
    </row>
    <row r="8">
      <c r="A8" s="10" t="n">
        <v>2</v>
      </c>
      <c r="B8" s="11" t="inlineStr">
        <is>
          <t>Mecanizado CNC</t>
        </is>
      </c>
      <c r="C8" s="11" t="inlineStr">
        <is>
          <t>Corte con refrigerante soluble</t>
        </is>
      </c>
      <c r="D8" s="10" t="inlineStr">
        <is>
          <t>N</t>
        </is>
      </c>
      <c r="E8" s="11" t="inlineStr">
        <is>
          <t>Generación de viruta impregnada de refrigerante</t>
        </is>
      </c>
      <c r="F8" s="11" t="inlineStr">
        <is>
          <t>Contaminación del suelo y del agua</t>
        </is>
      </c>
      <c r="G8" s="10" t="inlineStr">
        <is>
          <t>−</t>
        </is>
      </c>
      <c r="H8" s="10" t="n">
        <v>5</v>
      </c>
      <c r="I8" s="10" t="n">
        <v>3</v>
      </c>
      <c r="J8" s="10" t="n">
        <v>1</v>
      </c>
      <c r="K8" s="10" t="n">
        <v>3</v>
      </c>
      <c r="L8" s="10">
        <f>IF(COUNT(H8:K8)=4,H8*(I8+J8+K8),"")</f>
        <v/>
      </c>
      <c r="M8" s="10">
        <f>IF(L8="","",IF(L8&gt;=45,"Alta",IF(L8&gt;=21,"Moderada","Baja")))</f>
        <v/>
      </c>
      <c r="N8" s="10" t="inlineStr">
        <is>
          <t>SÍ</t>
        </is>
      </c>
      <c r="O8" s="10" t="inlineStr">
        <is>
          <t>NO</t>
        </is>
      </c>
      <c r="P8" s="10">
        <f>IF(AND(D8="E",I8=5),"SÍ","NO")</f>
        <v/>
      </c>
      <c r="Q8" s="10" t="inlineStr">
        <is>
          <t>NO</t>
        </is>
      </c>
      <c r="R8" s="10">
        <f>IF(L8="","",IF(OR(L8&gt;=45,N8="SÍ",O8="SÍ",P8="SÍ",Q8="SÍ"),"SÍ","NO"))</f>
        <v/>
      </c>
      <c r="S8" s="11">
        <f>IF(R8&lt;&gt;"SÍ","",TRIM(IF(L8&gt;=45,"IA≥45 ","")&amp;IF(N8="SÍ","Regulado ","")&amp;IF(O8="SÍ","Queja PI ","")&amp;IF(P8="SÍ","Emergencia ","")&amp;IF(Q8="SÍ","Dirección","")))</f>
        <v/>
      </c>
      <c r="T8" s="11" t="inlineStr">
        <is>
          <t>Escurrido de viruta; contenedor rotulado; entrega a gestor autorizado</t>
        </is>
      </c>
    </row>
    <row r="9">
      <c r="A9" s="10" t="n">
        <v>3</v>
      </c>
      <c r="B9" s="11" t="inlineStr">
        <is>
          <t>Mecanizado CNC</t>
        </is>
      </c>
      <c r="C9" s="11" t="inlineStr">
        <is>
          <t>Cambio del refrigerante de las máquinas</t>
        </is>
      </c>
      <c r="D9" s="10" t="inlineStr">
        <is>
          <t>A</t>
        </is>
      </c>
      <c r="E9" s="11" t="inlineStr">
        <is>
          <t>Generación de refrigerante agotado (RESPEL)</t>
        </is>
      </c>
      <c r="F9" s="11" t="inlineStr">
        <is>
          <t>Contaminación del suelo y del agua</t>
        </is>
      </c>
      <c r="G9" s="10" t="inlineStr">
        <is>
          <t>−</t>
        </is>
      </c>
      <c r="H9" s="10" t="n">
        <v>3</v>
      </c>
      <c r="I9" s="10" t="n">
        <v>5</v>
      </c>
      <c r="J9" s="10" t="n">
        <v>3</v>
      </c>
      <c r="K9" s="10" t="n">
        <v>3</v>
      </c>
      <c r="L9" s="10">
        <f>IF(COUNT(H9:K9)=4,H9*(I9+J9+K9),"")</f>
        <v/>
      </c>
      <c r="M9" s="10">
        <f>IF(L9="","",IF(L9&gt;=45,"Alta",IF(L9&gt;=21,"Moderada","Baja")))</f>
        <v/>
      </c>
      <c r="N9" s="10" t="inlineStr">
        <is>
          <t>SÍ</t>
        </is>
      </c>
      <c r="O9" s="10" t="inlineStr">
        <is>
          <t>NO</t>
        </is>
      </c>
      <c r="P9" s="10">
        <f>IF(AND(D9="E",I9=5),"SÍ","NO")</f>
        <v/>
      </c>
      <c r="Q9" s="10" t="inlineStr">
        <is>
          <t>NO</t>
        </is>
      </c>
      <c r="R9" s="10">
        <f>IF(L9="","",IF(OR(L9&gt;=45,N9="SÍ",O9="SÍ",P9="SÍ",Q9="SÍ"),"SÍ","NO"))</f>
        <v/>
      </c>
      <c r="S9" s="11">
        <f>IF(R9&lt;&gt;"SÍ","",TRIM(IF(L9&gt;=45,"IA≥45 ","")&amp;IF(N9="SÍ","Regulado ","")&amp;IF(O9="SÍ","Queja PI ","")&amp;IF(P9="SÍ","Emergencia ","")&amp;IF(Q9="SÍ","Dirección","")))</f>
        <v/>
      </c>
      <c r="T9" s="11" t="inlineStr">
        <is>
          <t>Instructivo de cambio; recolección en canecas cerradas; gestor con licencia</t>
        </is>
      </c>
    </row>
    <row r="10">
      <c r="A10" s="10" t="n">
        <v>4</v>
      </c>
      <c r="B10" s="11" t="inlineStr">
        <is>
          <t>Lavado de piezas</t>
        </is>
      </c>
      <c r="C10" s="11" t="inlineStr">
        <is>
          <t>Desengrase y lavado con agua</t>
        </is>
      </c>
      <c r="D10" s="10" t="inlineStr">
        <is>
          <t>N</t>
        </is>
      </c>
      <c r="E10" s="11" t="inlineStr">
        <is>
          <t>Vertimiento de agua con aceites y detergentes</t>
        </is>
      </c>
      <c r="F10" s="11" t="inlineStr">
        <is>
          <t>Alteración de la calidad del agua</t>
        </is>
      </c>
      <c r="G10" s="10" t="inlineStr">
        <is>
          <t>−</t>
        </is>
      </c>
      <c r="H10" s="10" t="n">
        <v>5</v>
      </c>
      <c r="I10" s="10" t="n">
        <v>3</v>
      </c>
      <c r="J10" s="10" t="n">
        <v>5</v>
      </c>
      <c r="K10" s="10" t="n">
        <v>3</v>
      </c>
      <c r="L10" s="10">
        <f>IF(COUNT(H10:K10)=4,H10*(I10+J10+K10),"")</f>
        <v/>
      </c>
      <c r="M10" s="10">
        <f>IF(L10="","",IF(L10&gt;=45,"Alta",IF(L10&gt;=21,"Moderada","Baja")))</f>
        <v/>
      </c>
      <c r="N10" s="10" t="inlineStr">
        <is>
          <t>SÍ</t>
        </is>
      </c>
      <c r="O10" s="10" t="inlineStr">
        <is>
          <t>NO</t>
        </is>
      </c>
      <c r="P10" s="10">
        <f>IF(AND(D10="E",I10=5),"SÍ","NO")</f>
        <v/>
      </c>
      <c r="Q10" s="10" t="inlineStr">
        <is>
          <t>NO</t>
        </is>
      </c>
      <c r="R10" s="10">
        <f>IF(L10="","",IF(OR(L10&gt;=45,N10="SÍ",O10="SÍ",P10="SÍ",Q10="SÍ"),"SÍ","NO"))</f>
        <v/>
      </c>
      <c r="S10" s="11">
        <f>IF(R10&lt;&gt;"SÍ","",TRIM(IF(L10&gt;=45,"IA≥45 ","")&amp;IF(N10="SÍ","Regulado ","")&amp;IF(O10="SÍ","Queja PI ","")&amp;IF(P10="SÍ","Emergencia ","")&amp;IF(Q10="SÍ","Dirección","")))</f>
        <v/>
      </c>
      <c r="T10" s="11" t="inlineStr">
        <is>
          <t>Trampa de grasas; caracterización anual; permiso o registro de vertimientos</t>
        </is>
      </c>
    </row>
    <row r="11">
      <c r="A11" s="10" t="n">
        <v>5</v>
      </c>
      <c r="B11" s="11" t="inlineStr">
        <is>
          <t>Pintura</t>
        </is>
      </c>
      <c r="C11" s="11" t="inlineStr">
        <is>
          <t>Aplicación de pintura base solvente</t>
        </is>
      </c>
      <c r="D11" s="10" t="inlineStr">
        <is>
          <t>N</t>
        </is>
      </c>
      <c r="E11" s="11" t="inlineStr">
        <is>
          <t>Emisión de compuestos orgánicos volátiles (COV)</t>
        </is>
      </c>
      <c r="F11" s="11" t="inlineStr">
        <is>
          <t>Alteración de la calidad del aire</t>
        </is>
      </c>
      <c r="G11" s="10" t="inlineStr">
        <is>
          <t>−</t>
        </is>
      </c>
      <c r="H11" s="10" t="n">
        <v>5</v>
      </c>
      <c r="I11" s="10" t="n">
        <v>3</v>
      </c>
      <c r="J11" s="10" t="n">
        <v>3</v>
      </c>
      <c r="K11" s="10" t="n">
        <v>1</v>
      </c>
      <c r="L11" s="10">
        <f>IF(COUNT(H11:K11)=4,H11*(I11+J11+K11),"")</f>
        <v/>
      </c>
      <c r="M11" s="10">
        <f>IF(L11="","",IF(L11&gt;=45,"Alta",IF(L11&gt;=21,"Moderada","Baja")))</f>
        <v/>
      </c>
      <c r="N11" s="10" t="inlineStr">
        <is>
          <t>NO</t>
        </is>
      </c>
      <c r="O11" s="10" t="inlineStr">
        <is>
          <t>SÍ</t>
        </is>
      </c>
      <c r="P11" s="10">
        <f>IF(AND(D11="E",I11=5),"SÍ","NO")</f>
        <v/>
      </c>
      <c r="Q11" s="10" t="inlineStr">
        <is>
          <t>NO</t>
        </is>
      </c>
      <c r="R11" s="10">
        <f>IF(L11="","",IF(OR(L11&gt;=45,N11="SÍ",O11="SÍ",P11="SÍ",Q11="SÍ"),"SÍ","NO"))</f>
        <v/>
      </c>
      <c r="S11" s="11">
        <f>IF(R11&lt;&gt;"SÍ","",TRIM(IF(L11&gt;=45,"IA≥45 ","")&amp;IF(N11="SÍ","Regulado ","")&amp;IF(O11="SÍ","Queja PI ","")&amp;IF(P11="SÍ","Emergencia ","")&amp;IF(Q11="SÍ","Dirección","")))</f>
        <v/>
      </c>
      <c r="T11" s="11" t="inlineStr">
        <is>
          <t>Cambio de filtros; evaluar pintura base agua; atender queja del vecino</t>
        </is>
      </c>
    </row>
    <row r="12">
      <c r="A12" s="10" t="n">
        <v>6</v>
      </c>
      <c r="B12" s="11" t="inlineStr">
        <is>
          <t>Troquelado</t>
        </is>
      </c>
      <c r="C12" s="11" t="inlineStr">
        <is>
          <t>Operación de prensas</t>
        </is>
      </c>
      <c r="D12" s="10" t="inlineStr">
        <is>
          <t>N</t>
        </is>
      </c>
      <c r="E12" s="11" t="inlineStr">
        <is>
          <t>Generación de ruido</t>
        </is>
      </c>
      <c r="F12" s="11" t="inlineStr">
        <is>
          <t>Molestia a la comunidad vecina</t>
        </is>
      </c>
      <c r="G12" s="10" t="inlineStr">
        <is>
          <t>−</t>
        </is>
      </c>
      <c r="H12" s="10" t="n">
        <v>5</v>
      </c>
      <c r="I12" s="10" t="n">
        <v>1</v>
      </c>
      <c r="J12" s="10" t="n">
        <v>3</v>
      </c>
      <c r="K12" s="10" t="n">
        <v>1</v>
      </c>
      <c r="L12" s="10">
        <f>IF(COUNT(H12:K12)=4,H12*(I12+J12+K12),"")</f>
        <v/>
      </c>
      <c r="M12" s="10">
        <f>IF(L12="","",IF(L12&gt;=45,"Alta",IF(L12&gt;=21,"Moderada","Baja")))</f>
        <v/>
      </c>
      <c r="N12" s="10" t="inlineStr">
        <is>
          <t>NO</t>
        </is>
      </c>
      <c r="O12" s="10" t="inlineStr">
        <is>
          <t>NO</t>
        </is>
      </c>
      <c r="P12" s="10">
        <f>IF(AND(D12="E",I12=5),"SÍ","NO")</f>
        <v/>
      </c>
      <c r="Q12" s="10" t="inlineStr">
        <is>
          <t>NO</t>
        </is>
      </c>
      <c r="R12" s="10">
        <f>IF(L12="","",IF(OR(L12&gt;=45,N12="SÍ",O12="SÍ",P12="SÍ",Q12="SÍ"),"SÍ","NO"))</f>
        <v/>
      </c>
      <c r="S12" s="11">
        <f>IF(R12&lt;&gt;"SÍ","",TRIM(IF(L12&gt;=45,"IA≥45 ","")&amp;IF(N12="SÍ","Regulado ","")&amp;IF(O12="SÍ","Queja PI ","")&amp;IF(P12="SÍ","Emergencia ","")&amp;IF(Q12="SÍ","Dirección","")))</f>
        <v/>
      </c>
      <c r="T12" s="11" t="inlineStr">
        <is>
          <t>Mantenimiento de prensas; horario; medición de ruido si hay queja</t>
        </is>
      </c>
    </row>
    <row r="13">
      <c r="A13" s="10" t="n">
        <v>7</v>
      </c>
      <c r="B13" s="11" t="inlineStr">
        <is>
          <t>Mantenimiento</t>
        </is>
      </c>
      <c r="C13" s="11" t="inlineStr">
        <is>
          <t>Mantenimiento preventivo de equipos</t>
        </is>
      </c>
      <c r="D13" s="10" t="inlineStr">
        <is>
          <t>A</t>
        </is>
      </c>
      <c r="E13" s="11" t="inlineStr">
        <is>
          <t>Generación de trapos y EPP contaminados con aceite</t>
        </is>
      </c>
      <c r="F13" s="11" t="inlineStr">
        <is>
          <t>Contaminación del suelo</t>
        </is>
      </c>
      <c r="G13" s="10" t="inlineStr">
        <is>
          <t>−</t>
        </is>
      </c>
      <c r="H13" s="10" t="n">
        <v>3</v>
      </c>
      <c r="I13" s="10" t="n">
        <v>3</v>
      </c>
      <c r="J13" s="10" t="n">
        <v>1</v>
      </c>
      <c r="K13" s="10" t="n">
        <v>3</v>
      </c>
      <c r="L13" s="10">
        <f>IF(COUNT(H13:K13)=4,H13*(I13+J13+K13),"")</f>
        <v/>
      </c>
      <c r="M13" s="10">
        <f>IF(L13="","",IF(L13&gt;=45,"Alta",IF(L13&gt;=21,"Moderada","Baja")))</f>
        <v/>
      </c>
      <c r="N13" s="10" t="inlineStr">
        <is>
          <t>SÍ</t>
        </is>
      </c>
      <c r="O13" s="10" t="inlineStr">
        <is>
          <t>NO</t>
        </is>
      </c>
      <c r="P13" s="10">
        <f>IF(AND(D13="E",I13=5),"SÍ","NO")</f>
        <v/>
      </c>
      <c r="Q13" s="10" t="inlineStr">
        <is>
          <t>NO</t>
        </is>
      </c>
      <c r="R13" s="10">
        <f>IF(L13="","",IF(OR(L13&gt;=45,N13="SÍ",O13="SÍ",P13="SÍ",Q13="SÍ"),"SÍ","NO"))</f>
        <v/>
      </c>
      <c r="S13" s="11">
        <f>IF(R13&lt;&gt;"SÍ","",TRIM(IF(L13&gt;=45,"IA≥45 ","")&amp;IF(N13="SÍ","Regulado ","")&amp;IF(O13="SÍ","Queja PI ","")&amp;IF(P13="SÍ","Emergencia ","")&amp;IF(Q13="SÍ","Dirección","")))</f>
        <v/>
      </c>
      <c r="T13" s="11" t="inlineStr">
        <is>
          <t>Caneca roja rotulada; almacenamiento temporal; gestor autorizado</t>
        </is>
      </c>
    </row>
    <row r="14">
      <c r="A14" s="10" t="n">
        <v>8</v>
      </c>
      <c r="B14" s="11" t="inlineStr">
        <is>
          <t>Almacén de químicos</t>
        </is>
      </c>
      <c r="C14" s="11" t="inlineStr">
        <is>
          <t>Almacenamiento de aceite hidráulico</t>
        </is>
      </c>
      <c r="D14" s="10" t="inlineStr">
        <is>
          <t>E</t>
        </is>
      </c>
      <c r="E14" s="11" t="inlineStr">
        <is>
          <t>Derrame potencial de aceite hidráulico</t>
        </is>
      </c>
      <c r="F14" s="11" t="inlineStr">
        <is>
          <t>Contaminación del suelo y del agua</t>
        </is>
      </c>
      <c r="G14" s="10" t="inlineStr">
        <is>
          <t>−</t>
        </is>
      </c>
      <c r="H14" s="10" t="n">
        <v>1</v>
      </c>
      <c r="I14" s="10" t="n">
        <v>5</v>
      </c>
      <c r="J14" s="10" t="n">
        <v>3</v>
      </c>
      <c r="K14" s="10" t="n">
        <v>5</v>
      </c>
      <c r="L14" s="10">
        <f>IF(COUNT(H14:K14)=4,H14*(I14+J14+K14),"")</f>
        <v/>
      </c>
      <c r="M14" s="10">
        <f>IF(L14="","",IF(L14&gt;=45,"Alta",IF(L14&gt;=21,"Moderada","Baja")))</f>
        <v/>
      </c>
      <c r="N14" s="10" t="inlineStr">
        <is>
          <t>NO</t>
        </is>
      </c>
      <c r="O14" s="10" t="inlineStr">
        <is>
          <t>NO</t>
        </is>
      </c>
      <c r="P14" s="10">
        <f>IF(AND(D14="E",I14=5),"SÍ","NO")</f>
        <v/>
      </c>
      <c r="Q14" s="10" t="inlineStr">
        <is>
          <t>NO</t>
        </is>
      </c>
      <c r="R14" s="10">
        <f>IF(L14="","",IF(OR(L14&gt;=45,N14="SÍ",O14="SÍ",P14="SÍ",Q14="SÍ"),"SÍ","NO"))</f>
        <v/>
      </c>
      <c r="S14" s="11">
        <f>IF(R14&lt;&gt;"SÍ","",TRIM(IF(L14&gt;=45,"IA≥45 ","")&amp;IF(N14="SÍ","Regulado ","")&amp;IF(O14="SÍ","Queja PI ","")&amp;IF(P14="SÍ","Emergencia ","")&amp;IF(Q14="SÍ","Dirección","")))</f>
        <v/>
      </c>
      <c r="T14" s="11" t="inlineStr">
        <is>
          <t>Dique de contención; kit antiderrames; simulacro ambiental anual</t>
        </is>
      </c>
    </row>
    <row r="15">
      <c r="A15" s="10" t="n">
        <v>9</v>
      </c>
      <c r="B15" s="11" t="inlineStr">
        <is>
          <t>Administración</t>
        </is>
      </c>
      <c r="C15" s="11" t="inlineStr">
        <is>
          <t>Trabajo de oficina</t>
        </is>
      </c>
      <c r="D15" s="10" t="inlineStr">
        <is>
          <t>N</t>
        </is>
      </c>
      <c r="E15" s="11" t="inlineStr">
        <is>
          <t>Consumo de papel</t>
        </is>
      </c>
      <c r="F15" s="11" t="inlineStr">
        <is>
          <t>Agotamiento de recursos naturales</t>
        </is>
      </c>
      <c r="G15" s="10" t="inlineStr">
        <is>
          <t>−</t>
        </is>
      </c>
      <c r="H15" s="10" t="n">
        <v>5</v>
      </c>
      <c r="I15" s="10" t="n">
        <v>1</v>
      </c>
      <c r="J15" s="10" t="n">
        <v>1</v>
      </c>
      <c r="K15" s="10" t="n">
        <v>1</v>
      </c>
      <c r="L15" s="10">
        <f>IF(COUNT(H15:K15)=4,H15*(I15+J15+K15),"")</f>
        <v/>
      </c>
      <c r="M15" s="10">
        <f>IF(L15="","",IF(L15&gt;=45,"Alta",IF(L15&gt;=21,"Moderada","Baja")))</f>
        <v/>
      </c>
      <c r="N15" s="10" t="inlineStr">
        <is>
          <t>NO</t>
        </is>
      </c>
      <c r="O15" s="10" t="inlineStr">
        <is>
          <t>NO</t>
        </is>
      </c>
      <c r="P15" s="10">
        <f>IF(AND(D15="E",I15=5),"SÍ","NO")</f>
        <v/>
      </c>
      <c r="Q15" s="10" t="inlineStr">
        <is>
          <t>NO</t>
        </is>
      </c>
      <c r="R15" s="10">
        <f>IF(L15="","",IF(OR(L15&gt;=45,N15="SÍ",O15="SÍ",P15="SÍ",Q15="SÍ"),"SÍ","NO"))</f>
        <v/>
      </c>
      <c r="S15" s="11">
        <f>IF(R15&lt;&gt;"SÍ","",TRIM(IF(L15&gt;=45,"IA≥45 ","")&amp;IF(N15="SÍ","Regulado ","")&amp;IF(O15="SÍ","Queja PI ","")&amp;IF(P15="SÍ","Emergencia ","")&amp;IF(Q15="SÍ","Dirección","")))</f>
        <v/>
      </c>
      <c r="T15" s="11" t="inlineStr">
        <is>
          <t>Buenas prácticas: impresión a doble cara y digitalización</t>
        </is>
      </c>
    </row>
    <row r="16">
      <c r="A16" s="10" t="n">
        <v>10</v>
      </c>
      <c r="B16" s="11" t="inlineStr">
        <is>
          <t>Casino</t>
        </is>
      </c>
      <c r="C16" s="11" t="inlineStr">
        <is>
          <t>Preparación y consumo de alimentos</t>
        </is>
      </c>
      <c r="D16" s="10" t="inlineStr">
        <is>
          <t>N</t>
        </is>
      </c>
      <c r="E16" s="11" t="inlineStr">
        <is>
          <t>Generación de residuos orgánicos</t>
        </is>
      </c>
      <c r="F16" s="11" t="inlineStr">
        <is>
          <t>Contaminación del suelo y proliferación de vectores</t>
        </is>
      </c>
      <c r="G16" s="10" t="inlineStr">
        <is>
          <t>−</t>
        </is>
      </c>
      <c r="H16" s="10" t="n">
        <v>5</v>
      </c>
      <c r="I16" s="10" t="n">
        <v>1</v>
      </c>
      <c r="J16" s="10" t="n">
        <v>1</v>
      </c>
      <c r="K16" s="10" t="n">
        <v>1</v>
      </c>
      <c r="L16" s="10">
        <f>IF(COUNT(H16:K16)=4,H16*(I16+J16+K16),"")</f>
        <v/>
      </c>
      <c r="M16" s="10">
        <f>IF(L16="","",IF(L16&gt;=45,"Alta",IF(L16&gt;=21,"Moderada","Baja")))</f>
        <v/>
      </c>
      <c r="N16" s="10" t="inlineStr">
        <is>
          <t>NO</t>
        </is>
      </c>
      <c r="O16" s="10" t="inlineStr">
        <is>
          <t>NO</t>
        </is>
      </c>
      <c r="P16" s="10">
        <f>IF(AND(D16="E",I16=5),"SÍ","NO")</f>
        <v/>
      </c>
      <c r="Q16" s="10" t="inlineStr">
        <is>
          <t>NO</t>
        </is>
      </c>
      <c r="R16" s="10">
        <f>IF(L16="","",IF(OR(L16&gt;=45,N16="SÍ",O16="SÍ",P16="SÍ",Q16="SÍ"),"SÍ","NO"))</f>
        <v/>
      </c>
      <c r="S16" s="11">
        <f>IF(R16&lt;&gt;"SÍ","",TRIM(IF(L16&gt;=45,"IA≥45 ","")&amp;IF(N16="SÍ","Regulado ","")&amp;IF(O16="SÍ","Queja PI ","")&amp;IF(P16="SÍ","Emergencia ","")&amp;IF(Q16="SÍ","Dirección","")))</f>
        <v/>
      </c>
      <c r="T16" s="11" t="inlineStr">
        <is>
          <t>Separación en caneca verde; entrega a gestor o compostaje</t>
        </is>
      </c>
    </row>
    <row r="17">
      <c r="A17" s="10" t="n">
        <v>11</v>
      </c>
      <c r="B17" s="11" t="inlineStr">
        <is>
          <t>Bodega</t>
        </is>
      </c>
      <c r="C17" s="11" t="inlineStr">
        <is>
          <t>Separación de cartón y chatarra</t>
        </is>
      </c>
      <c r="D17" s="10" t="inlineStr">
        <is>
          <t>N</t>
        </is>
      </c>
      <c r="E17" s="11" t="inlineStr">
        <is>
          <t>Aprovechamiento de cartón y chatarra</t>
        </is>
      </c>
      <c r="F17" s="11" t="inlineStr">
        <is>
          <t>Menor presión sobre los recursos naturales</t>
        </is>
      </c>
      <c r="G17" s="10" t="inlineStr">
        <is>
          <t>+</t>
        </is>
      </c>
      <c r="H17" s="10" t="n">
        <v>5</v>
      </c>
      <c r="I17" s="10" t="n">
        <v>3</v>
      </c>
      <c r="J17" s="10" t="n">
        <v>3</v>
      </c>
      <c r="K17" s="10" t="n">
        <v>3</v>
      </c>
      <c r="L17" s="10">
        <f>IF(COUNT(H17:K17)=4,H17*(I17+J17+K17),"")</f>
        <v/>
      </c>
      <c r="M17" s="10">
        <f>IF(L17="","",IF(L17&gt;=45,"Alta",IF(L17&gt;=21,"Moderada","Baja")))</f>
        <v/>
      </c>
      <c r="N17" s="10" t="inlineStr">
        <is>
          <t>NO</t>
        </is>
      </c>
      <c r="O17" s="10" t="inlineStr">
        <is>
          <t>NO</t>
        </is>
      </c>
      <c r="P17" s="10">
        <f>IF(AND(D17="E",I17=5),"SÍ","NO")</f>
        <v/>
      </c>
      <c r="Q17" s="10" t="inlineStr">
        <is>
          <t>NO</t>
        </is>
      </c>
      <c r="R17" s="10">
        <f>IF(L17="","",IF(OR(L17&gt;=45,N17="SÍ",O17="SÍ",P17="SÍ",Q17="SÍ"),"SÍ","NO"))</f>
        <v/>
      </c>
      <c r="S17" s="11">
        <f>IF(R17&lt;&gt;"SÍ","",TRIM(IF(L17&gt;=45,"IA≥45 ","")&amp;IF(N17="SÍ","Regulado ","")&amp;IF(O17="SÍ","Queja PI ","")&amp;IF(P17="SÍ","Emergencia ","")&amp;IF(Q17="SÍ","Dirección","")))</f>
        <v/>
      </c>
      <c r="T17" s="11" t="inlineStr">
        <is>
          <t>Mantener y potenciar: pesaje mensual y certificados de aprovechamiento</t>
        </is>
      </c>
    </row>
    <row r="18">
      <c r="A18" s="10" t="n">
        <v>12</v>
      </c>
      <c r="B18" s="11" t="inlineStr">
        <is>
          <t>Compras</t>
        </is>
      </c>
      <c r="C18" s="11" t="inlineStr">
        <is>
          <t>Selección de proveedores de acero</t>
        </is>
      </c>
      <c r="D18" s="10" t="inlineStr">
        <is>
          <t>N</t>
        </is>
      </c>
      <c r="E18" s="11" t="inlineStr">
        <is>
          <t>Adquisición de materia prima (ciclo de vida)</t>
        </is>
      </c>
      <c r="F18" s="11" t="inlineStr">
        <is>
          <t>Uso de recursos y emisiones en la cadena de suministro</t>
        </is>
      </c>
      <c r="G18" s="10" t="inlineStr">
        <is>
          <t>−</t>
        </is>
      </c>
      <c r="H18" s="10" t="n">
        <v>3</v>
      </c>
      <c r="I18" s="10" t="n">
        <v>3</v>
      </c>
      <c r="J18" s="10" t="n">
        <v>5</v>
      </c>
      <c r="K18" s="10" t="n">
        <v>3</v>
      </c>
      <c r="L18" s="10">
        <f>IF(COUNT(H18:K18)=4,H18*(I18+J18+K18),"")</f>
        <v/>
      </c>
      <c r="M18" s="10">
        <f>IF(L18="","",IF(L18&gt;=45,"Alta",IF(L18&gt;=21,"Moderada","Baja")))</f>
        <v/>
      </c>
      <c r="N18" s="10" t="inlineStr">
        <is>
          <t>NO</t>
        </is>
      </c>
      <c r="O18" s="10" t="inlineStr">
        <is>
          <t>NO</t>
        </is>
      </c>
      <c r="P18" s="10">
        <f>IF(AND(D18="E",I18=5),"SÍ","NO")</f>
        <v/>
      </c>
      <c r="Q18" s="10" t="inlineStr">
        <is>
          <t>NO</t>
        </is>
      </c>
      <c r="R18" s="10">
        <f>IF(L18="","",IF(OR(L18&gt;=45,N18="SÍ",O18="SÍ",P18="SÍ",Q18="SÍ"),"SÍ","NO"))</f>
        <v/>
      </c>
      <c r="S18" s="11">
        <f>IF(R18&lt;&gt;"SÍ","",TRIM(IF(L18&gt;=45,"IA≥45 ","")&amp;IF(N18="SÍ","Regulado ","")&amp;IF(O18="SÍ","Queja PI ","")&amp;IF(P18="SÍ","Emergencia ","")&amp;IF(Q18="SÍ","Dirección","")))</f>
        <v/>
      </c>
      <c r="T18" s="11" t="inlineStr">
        <is>
          <t>Oportunidad: criterios ambientales en la evaluación de proveedores</t>
        </is>
      </c>
    </row>
    <row r="19">
      <c r="A19" s="10" t="n">
        <v>13</v>
      </c>
      <c r="B19" s="11" t="inlineStr">
        <is>
          <t>Mantenimiento locativo</t>
        </is>
      </c>
      <c r="C19" s="11" t="inlineStr">
        <is>
          <t>Cambio de luminarias</t>
        </is>
      </c>
      <c r="D19" s="10" t="inlineStr">
        <is>
          <t>A</t>
        </is>
      </c>
      <c r="E19" s="11" t="inlineStr">
        <is>
          <t>Generación de luminarias usadas</t>
        </is>
      </c>
      <c r="F19" s="11" t="inlineStr">
        <is>
          <t>Contaminación del suelo (mercurio, si aplica)</t>
        </is>
      </c>
      <c r="G19" s="10" t="inlineStr">
        <is>
          <t>−</t>
        </is>
      </c>
      <c r="H19" s="10" t="n">
        <v>1</v>
      </c>
      <c r="I19" s="10" t="n">
        <v>3</v>
      </c>
      <c r="J19" s="10" t="n">
        <v>1</v>
      </c>
      <c r="K19" s="10" t="n">
        <v>3</v>
      </c>
      <c r="L19" s="10">
        <f>IF(COUNT(H19:K19)=4,H19*(I19+J19+K19),"")</f>
        <v/>
      </c>
      <c r="M19" s="10">
        <f>IF(L19="","",IF(L19&gt;=45,"Alta",IF(L19&gt;=21,"Moderada","Baja")))</f>
        <v/>
      </c>
      <c r="N19" s="10" t="inlineStr">
        <is>
          <t>SÍ</t>
        </is>
      </c>
      <c r="O19" s="10" t="inlineStr">
        <is>
          <t>NO</t>
        </is>
      </c>
      <c r="P19" s="10">
        <f>IF(AND(D19="E",I19=5),"SÍ","NO")</f>
        <v/>
      </c>
      <c r="Q19" s="10" t="inlineStr">
        <is>
          <t>NO</t>
        </is>
      </c>
      <c r="R19" s="10">
        <f>IF(L19="","",IF(OR(L19&gt;=45,N19="SÍ",O19="SÍ",P19="SÍ",Q19="SÍ"),"SÍ","NO"))</f>
        <v/>
      </c>
      <c r="S19" s="11">
        <f>IF(R19&lt;&gt;"SÍ","",TRIM(IF(L19&gt;=45,"IA≥45 ","")&amp;IF(N19="SÍ","Regulado ","")&amp;IF(O19="SÍ","Queja PI ","")&amp;IF(P19="SÍ","Emergencia ","")&amp;IF(Q19="SÍ","Dirección","")))</f>
        <v/>
      </c>
      <c r="T19" s="11" t="inlineStr">
        <is>
          <t>Entrega a programa posconsumo; no romper luminarias</t>
        </is>
      </c>
    </row>
    <row r="20">
      <c r="A20" s="10" t="n">
        <v>14</v>
      </c>
      <c r="B20" s="11" t="inlineStr">
        <is>
          <t>Toda la sede</t>
        </is>
      </c>
      <c r="C20" s="11" t="inlineStr">
        <is>
          <t>Incendio en bodega</t>
        </is>
      </c>
      <c r="D20" s="10" t="inlineStr">
        <is>
          <t>E</t>
        </is>
      </c>
      <c r="E20" s="11" t="inlineStr">
        <is>
          <t>Emisión de humos y generación de aguas de extinción</t>
        </is>
      </c>
      <c r="F20" s="11" t="inlineStr">
        <is>
          <t>Alteración de la calidad del aire y del agua</t>
        </is>
      </c>
      <c r="G20" s="10" t="inlineStr">
        <is>
          <t>−</t>
        </is>
      </c>
      <c r="H20" s="10" t="n">
        <v>1</v>
      </c>
      <c r="I20" s="10" t="n">
        <v>5</v>
      </c>
      <c r="J20" s="10" t="n">
        <v>5</v>
      </c>
      <c r="K20" s="10" t="n">
        <v>3</v>
      </c>
      <c r="L20" s="10">
        <f>IF(COUNT(H20:K20)=4,H20*(I20+J20+K20),"")</f>
        <v/>
      </c>
      <c r="M20" s="10">
        <f>IF(L20="","",IF(L20&gt;=45,"Alta",IF(L20&gt;=21,"Moderada","Baja")))</f>
        <v/>
      </c>
      <c r="N20" s="10" t="inlineStr">
        <is>
          <t>NO</t>
        </is>
      </c>
      <c r="O20" s="10" t="inlineStr">
        <is>
          <t>NO</t>
        </is>
      </c>
      <c r="P20" s="10">
        <f>IF(AND(D20="E",I20=5),"SÍ","NO")</f>
        <v/>
      </c>
      <c r="Q20" s="10" t="inlineStr">
        <is>
          <t>NO</t>
        </is>
      </c>
      <c r="R20" s="10">
        <f>IF(L20="","",IF(OR(L20&gt;=45,N20="SÍ",O20="SÍ",P20="SÍ",Q20="SÍ"),"SÍ","NO"))</f>
        <v/>
      </c>
      <c r="S20" s="11">
        <f>IF(R20&lt;&gt;"SÍ","",TRIM(IF(L20&gt;=45,"IA≥45 ","")&amp;IF(N20="SÍ","Regulado ","")&amp;IF(O20="SÍ","Queja PI ","")&amp;IF(P20="SÍ","Emergencia ","")&amp;IF(Q20="SÍ","Dirección","")))</f>
        <v/>
      </c>
      <c r="T20" s="11" t="inlineStr">
        <is>
          <t>Plan de emergencias; contención de aguas de extinción; brigada</t>
        </is>
      </c>
    </row>
    <row r="21">
      <c r="A21" s="10" t="n">
        <v>15</v>
      </c>
      <c r="B21" s="11" t="n"/>
      <c r="C21" s="11" t="n"/>
      <c r="D21" s="10" t="n"/>
      <c r="E21" s="11" t="n"/>
      <c r="F21" s="11" t="n"/>
      <c r="G21" s="10" t="n"/>
      <c r="H21" s="10" t="n"/>
      <c r="I21" s="10" t="n"/>
      <c r="J21" s="10" t="n"/>
      <c r="K21" s="10" t="n"/>
      <c r="L21" s="10">
        <f>IF(COUNT(H21:K21)=4,H21*(I21+J21+K21),"")</f>
        <v/>
      </c>
      <c r="M21" s="10">
        <f>IF(L21="","",IF(L21&gt;=45,"Alta",IF(L21&gt;=21,"Moderada","Baja")))</f>
        <v/>
      </c>
      <c r="N21" s="10" t="n"/>
      <c r="O21" s="10" t="n"/>
      <c r="P21" s="10">
        <f>IF(AND(D21="E",I21=5),"SÍ","NO")</f>
        <v/>
      </c>
      <c r="Q21" s="10" t="n"/>
      <c r="R21" s="10">
        <f>IF(L21="","",IF(OR(L21&gt;=45,N21="SÍ",O21="SÍ",P21="SÍ",Q21="SÍ"),"SÍ","NO"))</f>
        <v/>
      </c>
      <c r="S21" s="11">
        <f>IF(R21&lt;&gt;"SÍ","",TRIM(IF(L21&gt;=45,"IA≥45 ","")&amp;IF(N21="SÍ","Regulado ","")&amp;IF(O21="SÍ","Queja PI ","")&amp;IF(P21="SÍ","Emergencia ","")&amp;IF(Q21="SÍ","Dirección","")))</f>
        <v/>
      </c>
      <c r="T21" s="11" t="n"/>
    </row>
    <row r="22">
      <c r="A22" s="10" t="n">
        <v>16</v>
      </c>
      <c r="B22" s="11" t="n"/>
      <c r="C22" s="11" t="n"/>
      <c r="D22" s="10" t="n"/>
      <c r="E22" s="11" t="n"/>
      <c r="F22" s="11" t="n"/>
      <c r="G22" s="10" t="n"/>
      <c r="H22" s="10" t="n"/>
      <c r="I22" s="10" t="n"/>
      <c r="J22" s="10" t="n"/>
      <c r="K22" s="10" t="n"/>
      <c r="L22" s="10">
        <f>IF(COUNT(H22:K22)=4,H22*(I22+J22+K22),"")</f>
        <v/>
      </c>
      <c r="M22" s="10">
        <f>IF(L22="","",IF(L22&gt;=45,"Alta",IF(L22&gt;=21,"Moderada","Baja")))</f>
        <v/>
      </c>
      <c r="N22" s="10" t="n"/>
      <c r="O22" s="10" t="n"/>
      <c r="P22" s="10">
        <f>IF(AND(D22="E",I22=5),"SÍ","NO")</f>
        <v/>
      </c>
      <c r="Q22" s="10" t="n"/>
      <c r="R22" s="10">
        <f>IF(L22="","",IF(OR(L22&gt;=45,N22="SÍ",O22="SÍ",P22="SÍ",Q22="SÍ"),"SÍ","NO"))</f>
        <v/>
      </c>
      <c r="S22" s="11">
        <f>IF(R22&lt;&gt;"SÍ","",TRIM(IF(L22&gt;=45,"IA≥45 ","")&amp;IF(N22="SÍ","Regulado ","")&amp;IF(O22="SÍ","Queja PI ","")&amp;IF(P22="SÍ","Emergencia ","")&amp;IF(Q22="SÍ","Dirección","")))</f>
        <v/>
      </c>
      <c r="T22" s="11" t="n"/>
    </row>
    <row r="23">
      <c r="A23" s="10" t="n">
        <v>17</v>
      </c>
      <c r="B23" s="11" t="n"/>
      <c r="C23" s="11" t="n"/>
      <c r="D23" s="10" t="n"/>
      <c r="E23" s="11" t="n"/>
      <c r="F23" s="11" t="n"/>
      <c r="G23" s="10" t="n"/>
      <c r="H23" s="10" t="n"/>
      <c r="I23" s="10" t="n"/>
      <c r="J23" s="10" t="n"/>
      <c r="K23" s="10" t="n"/>
      <c r="L23" s="10">
        <f>IF(COUNT(H23:K23)=4,H23*(I23+J23+K23),"")</f>
        <v/>
      </c>
      <c r="M23" s="10">
        <f>IF(L23="","",IF(L23&gt;=45,"Alta",IF(L23&gt;=21,"Moderada","Baja")))</f>
        <v/>
      </c>
      <c r="N23" s="10" t="n"/>
      <c r="O23" s="10" t="n"/>
      <c r="P23" s="10">
        <f>IF(AND(D23="E",I23=5),"SÍ","NO")</f>
        <v/>
      </c>
      <c r="Q23" s="10" t="n"/>
      <c r="R23" s="10">
        <f>IF(L23="","",IF(OR(L23&gt;=45,N23="SÍ",O23="SÍ",P23="SÍ",Q23="SÍ"),"SÍ","NO"))</f>
        <v/>
      </c>
      <c r="S23" s="11">
        <f>IF(R23&lt;&gt;"SÍ","",TRIM(IF(L23&gt;=45,"IA≥45 ","")&amp;IF(N23="SÍ","Regulado ","")&amp;IF(O23="SÍ","Queja PI ","")&amp;IF(P23="SÍ","Emergencia ","")&amp;IF(Q23="SÍ","Dirección","")))</f>
        <v/>
      </c>
      <c r="T23" s="11" t="n"/>
    </row>
    <row r="24">
      <c r="A24" s="10" t="n">
        <v>18</v>
      </c>
      <c r="B24" s="11" t="n"/>
      <c r="C24" s="11" t="n"/>
      <c r="D24" s="10" t="n"/>
      <c r="E24" s="11" t="n"/>
      <c r="F24" s="11" t="n"/>
      <c r="G24" s="10" t="n"/>
      <c r="H24" s="10" t="n"/>
      <c r="I24" s="10" t="n"/>
      <c r="J24" s="10" t="n"/>
      <c r="K24" s="10" t="n"/>
      <c r="L24" s="10">
        <f>IF(COUNT(H24:K24)=4,H24*(I24+J24+K24),"")</f>
        <v/>
      </c>
      <c r="M24" s="10">
        <f>IF(L24="","",IF(L24&gt;=45,"Alta",IF(L24&gt;=21,"Moderada","Baja")))</f>
        <v/>
      </c>
      <c r="N24" s="10" t="n"/>
      <c r="O24" s="10" t="n"/>
      <c r="P24" s="10">
        <f>IF(AND(D24="E",I24=5),"SÍ","NO")</f>
        <v/>
      </c>
      <c r="Q24" s="10" t="n"/>
      <c r="R24" s="10">
        <f>IF(L24="","",IF(OR(L24&gt;=45,N24="SÍ",O24="SÍ",P24="SÍ",Q24="SÍ"),"SÍ","NO"))</f>
        <v/>
      </c>
      <c r="S24" s="11">
        <f>IF(R24&lt;&gt;"SÍ","",TRIM(IF(L24&gt;=45,"IA≥45 ","")&amp;IF(N24="SÍ","Regulado ","")&amp;IF(O24="SÍ","Queja PI ","")&amp;IF(P24="SÍ","Emergencia ","")&amp;IF(Q24="SÍ","Dirección","")))</f>
        <v/>
      </c>
      <c r="T24" s="11" t="n"/>
    </row>
    <row r="25">
      <c r="A25" s="10" t="n">
        <v>19</v>
      </c>
      <c r="B25" s="11" t="n"/>
      <c r="C25" s="11" t="n"/>
      <c r="D25" s="10" t="n"/>
      <c r="E25" s="11" t="n"/>
      <c r="F25" s="11" t="n"/>
      <c r="G25" s="10" t="n"/>
      <c r="H25" s="10" t="n"/>
      <c r="I25" s="10" t="n"/>
      <c r="J25" s="10" t="n"/>
      <c r="K25" s="10" t="n"/>
      <c r="L25" s="10">
        <f>IF(COUNT(H25:K25)=4,H25*(I25+J25+K25),"")</f>
        <v/>
      </c>
      <c r="M25" s="10">
        <f>IF(L25="","",IF(L25&gt;=45,"Alta",IF(L25&gt;=21,"Moderada","Baja")))</f>
        <v/>
      </c>
      <c r="N25" s="10" t="n"/>
      <c r="O25" s="10" t="n"/>
      <c r="P25" s="10">
        <f>IF(AND(D25="E",I25=5),"SÍ","NO")</f>
        <v/>
      </c>
      <c r="Q25" s="10" t="n"/>
      <c r="R25" s="10">
        <f>IF(L25="","",IF(OR(L25&gt;=45,N25="SÍ",O25="SÍ",P25="SÍ",Q25="SÍ"),"SÍ","NO"))</f>
        <v/>
      </c>
      <c r="S25" s="11">
        <f>IF(R25&lt;&gt;"SÍ","",TRIM(IF(L25&gt;=45,"IA≥45 ","")&amp;IF(N25="SÍ","Regulado ","")&amp;IF(O25="SÍ","Queja PI ","")&amp;IF(P25="SÍ","Emergencia ","")&amp;IF(Q25="SÍ","Dirección","")))</f>
        <v/>
      </c>
      <c r="T25" s="11" t="n"/>
    </row>
    <row r="26">
      <c r="A26" s="10" t="n">
        <v>20</v>
      </c>
      <c r="B26" s="11" t="n"/>
      <c r="C26" s="11" t="n"/>
      <c r="D26" s="10" t="n"/>
      <c r="E26" s="11" t="n"/>
      <c r="F26" s="11" t="n"/>
      <c r="G26" s="10" t="n"/>
      <c r="H26" s="10" t="n"/>
      <c r="I26" s="10" t="n"/>
      <c r="J26" s="10" t="n"/>
      <c r="K26" s="10" t="n"/>
      <c r="L26" s="10">
        <f>IF(COUNT(H26:K26)=4,H26*(I26+J26+K26),"")</f>
        <v/>
      </c>
      <c r="M26" s="10">
        <f>IF(L26="","",IF(L26&gt;=45,"Alta",IF(L26&gt;=21,"Moderada","Baja")))</f>
        <v/>
      </c>
      <c r="N26" s="10" t="n"/>
      <c r="O26" s="10" t="n"/>
      <c r="P26" s="10">
        <f>IF(AND(D26="E",I26=5),"SÍ","NO")</f>
        <v/>
      </c>
      <c r="Q26" s="10" t="n"/>
      <c r="R26" s="10">
        <f>IF(L26="","",IF(OR(L26&gt;=45,N26="SÍ",O26="SÍ",P26="SÍ",Q26="SÍ"),"SÍ","NO"))</f>
        <v/>
      </c>
      <c r="S26" s="11">
        <f>IF(R26&lt;&gt;"SÍ","",TRIM(IF(L26&gt;=45,"IA≥45 ","")&amp;IF(N26="SÍ","Regulado ","")&amp;IF(O26="SÍ","Queja PI ","")&amp;IF(P26="SÍ","Emergencia ","")&amp;IF(Q26="SÍ","Dirección","")))</f>
        <v/>
      </c>
      <c r="T26" s="11" t="n"/>
    </row>
    <row r="27">
      <c r="A27" s="10" t="n">
        <v>21</v>
      </c>
      <c r="B27" s="11" t="n"/>
      <c r="C27" s="11" t="n"/>
      <c r="D27" s="10" t="n"/>
      <c r="E27" s="11" t="n"/>
      <c r="F27" s="11" t="n"/>
      <c r="G27" s="10" t="n"/>
      <c r="H27" s="10" t="n"/>
      <c r="I27" s="10" t="n"/>
      <c r="J27" s="10" t="n"/>
      <c r="K27" s="10" t="n"/>
      <c r="L27" s="10">
        <f>IF(COUNT(H27:K27)=4,H27*(I27+J27+K27),"")</f>
        <v/>
      </c>
      <c r="M27" s="10">
        <f>IF(L27="","",IF(L27&gt;=45,"Alta",IF(L27&gt;=21,"Moderada","Baja")))</f>
        <v/>
      </c>
      <c r="N27" s="10" t="n"/>
      <c r="O27" s="10" t="n"/>
      <c r="P27" s="10">
        <f>IF(AND(D27="E",I27=5),"SÍ","NO")</f>
        <v/>
      </c>
      <c r="Q27" s="10" t="n"/>
      <c r="R27" s="10">
        <f>IF(L27="","",IF(OR(L27&gt;=45,N27="SÍ",O27="SÍ",P27="SÍ",Q27="SÍ"),"SÍ","NO"))</f>
        <v/>
      </c>
      <c r="S27" s="11">
        <f>IF(R27&lt;&gt;"SÍ","",TRIM(IF(L27&gt;=45,"IA≥45 ","")&amp;IF(N27="SÍ","Regulado ","")&amp;IF(O27="SÍ","Queja PI ","")&amp;IF(P27="SÍ","Emergencia ","")&amp;IF(Q27="SÍ","Dirección","")))</f>
        <v/>
      </c>
      <c r="T27" s="11" t="n"/>
    </row>
    <row r="28">
      <c r="A28" s="10" t="n">
        <v>22</v>
      </c>
      <c r="B28" s="11" t="n"/>
      <c r="C28" s="11" t="n"/>
      <c r="D28" s="10" t="n"/>
      <c r="E28" s="11" t="n"/>
      <c r="F28" s="11" t="n"/>
      <c r="G28" s="10" t="n"/>
      <c r="H28" s="10" t="n"/>
      <c r="I28" s="10" t="n"/>
      <c r="J28" s="10" t="n"/>
      <c r="K28" s="10" t="n"/>
      <c r="L28" s="10">
        <f>IF(COUNT(H28:K28)=4,H28*(I28+J28+K28),"")</f>
        <v/>
      </c>
      <c r="M28" s="10">
        <f>IF(L28="","",IF(L28&gt;=45,"Alta",IF(L28&gt;=21,"Moderada","Baja")))</f>
        <v/>
      </c>
      <c r="N28" s="10" t="n"/>
      <c r="O28" s="10" t="n"/>
      <c r="P28" s="10">
        <f>IF(AND(D28="E",I28=5),"SÍ","NO")</f>
        <v/>
      </c>
      <c r="Q28" s="10" t="n"/>
      <c r="R28" s="10">
        <f>IF(L28="","",IF(OR(L28&gt;=45,N28="SÍ",O28="SÍ",P28="SÍ",Q28="SÍ"),"SÍ","NO"))</f>
        <v/>
      </c>
      <c r="S28" s="11">
        <f>IF(R28&lt;&gt;"SÍ","",TRIM(IF(L28&gt;=45,"IA≥45 ","")&amp;IF(N28="SÍ","Regulado ","")&amp;IF(O28="SÍ","Queja PI ","")&amp;IF(P28="SÍ","Emergencia ","")&amp;IF(Q28="SÍ","Dirección","")))</f>
        <v/>
      </c>
      <c r="T28" s="11" t="n"/>
    </row>
    <row r="29">
      <c r="A29" s="10" t="n">
        <v>23</v>
      </c>
      <c r="B29" s="11" t="n"/>
      <c r="C29" s="11" t="n"/>
      <c r="D29" s="10" t="n"/>
      <c r="E29" s="11" t="n"/>
      <c r="F29" s="11" t="n"/>
      <c r="G29" s="10" t="n"/>
      <c r="H29" s="10" t="n"/>
      <c r="I29" s="10" t="n"/>
      <c r="J29" s="10" t="n"/>
      <c r="K29" s="10" t="n"/>
      <c r="L29" s="10">
        <f>IF(COUNT(H29:K29)=4,H29*(I29+J29+K29),"")</f>
        <v/>
      </c>
      <c r="M29" s="10">
        <f>IF(L29="","",IF(L29&gt;=45,"Alta",IF(L29&gt;=21,"Moderada","Baja")))</f>
        <v/>
      </c>
      <c r="N29" s="10" t="n"/>
      <c r="O29" s="10" t="n"/>
      <c r="P29" s="10">
        <f>IF(AND(D29="E",I29=5),"SÍ","NO")</f>
        <v/>
      </c>
      <c r="Q29" s="10" t="n"/>
      <c r="R29" s="10">
        <f>IF(L29="","",IF(OR(L29&gt;=45,N29="SÍ",O29="SÍ",P29="SÍ",Q29="SÍ"),"SÍ","NO"))</f>
        <v/>
      </c>
      <c r="S29" s="11">
        <f>IF(R29&lt;&gt;"SÍ","",TRIM(IF(L29&gt;=45,"IA≥45 ","")&amp;IF(N29="SÍ","Regulado ","")&amp;IF(O29="SÍ","Queja PI ","")&amp;IF(P29="SÍ","Emergencia ","")&amp;IF(Q29="SÍ","Dirección","")))</f>
        <v/>
      </c>
      <c r="T29" s="11" t="n"/>
    </row>
    <row r="30">
      <c r="A30" s="10" t="n">
        <v>24</v>
      </c>
      <c r="B30" s="11" t="n"/>
      <c r="C30" s="11" t="n"/>
      <c r="D30" s="10" t="n"/>
      <c r="E30" s="11" t="n"/>
      <c r="F30" s="11" t="n"/>
      <c r="G30" s="10" t="n"/>
      <c r="H30" s="10" t="n"/>
      <c r="I30" s="10" t="n"/>
      <c r="J30" s="10" t="n"/>
      <c r="K30" s="10" t="n"/>
      <c r="L30" s="10">
        <f>IF(COUNT(H30:K30)=4,H30*(I30+J30+K30),"")</f>
        <v/>
      </c>
      <c r="M30" s="10">
        <f>IF(L30="","",IF(L30&gt;=45,"Alta",IF(L30&gt;=21,"Moderada","Baja")))</f>
        <v/>
      </c>
      <c r="N30" s="10" t="n"/>
      <c r="O30" s="10" t="n"/>
      <c r="P30" s="10">
        <f>IF(AND(D30="E",I30=5),"SÍ","NO")</f>
        <v/>
      </c>
      <c r="Q30" s="10" t="n"/>
      <c r="R30" s="10">
        <f>IF(L30="","",IF(OR(L30&gt;=45,N30="SÍ",O30="SÍ",P30="SÍ",Q30="SÍ"),"SÍ","NO"))</f>
        <v/>
      </c>
      <c r="S30" s="11">
        <f>IF(R30&lt;&gt;"SÍ","",TRIM(IF(L30&gt;=45,"IA≥45 ","")&amp;IF(N30="SÍ","Regulado ","")&amp;IF(O30="SÍ","Queja PI ","")&amp;IF(P30="SÍ","Emergencia ","")&amp;IF(Q30="SÍ","Dirección","")))</f>
        <v/>
      </c>
      <c r="T30" s="11" t="n"/>
    </row>
    <row r="31">
      <c r="A31" s="10" t="n">
        <v>25</v>
      </c>
      <c r="B31" s="11" t="n"/>
      <c r="C31" s="11" t="n"/>
      <c r="D31" s="10" t="n"/>
      <c r="E31" s="11" t="n"/>
      <c r="F31" s="11" t="n"/>
      <c r="G31" s="10" t="n"/>
      <c r="H31" s="10" t="n"/>
      <c r="I31" s="10" t="n"/>
      <c r="J31" s="10" t="n"/>
      <c r="K31" s="10" t="n"/>
      <c r="L31" s="10">
        <f>IF(COUNT(H31:K31)=4,H31*(I31+J31+K31),"")</f>
        <v/>
      </c>
      <c r="M31" s="10">
        <f>IF(L31="","",IF(L31&gt;=45,"Alta",IF(L31&gt;=21,"Moderada","Baja")))</f>
        <v/>
      </c>
      <c r="N31" s="10" t="n"/>
      <c r="O31" s="10" t="n"/>
      <c r="P31" s="10">
        <f>IF(AND(D31="E",I31=5),"SÍ","NO")</f>
        <v/>
      </c>
      <c r="Q31" s="10" t="n"/>
      <c r="R31" s="10">
        <f>IF(L31="","",IF(OR(L31&gt;=45,N31="SÍ",O31="SÍ",P31="SÍ",Q31="SÍ"),"SÍ","NO"))</f>
        <v/>
      </c>
      <c r="S31" s="11">
        <f>IF(R31&lt;&gt;"SÍ","",TRIM(IF(L31&gt;=45,"IA≥45 ","")&amp;IF(N31="SÍ","Regulado ","")&amp;IF(O31="SÍ","Queja PI ","")&amp;IF(P31="SÍ","Emergencia ","")&amp;IF(Q31="SÍ","Dirección","")))</f>
        <v/>
      </c>
      <c r="T31" s="11" t="n"/>
    </row>
    <row r="32">
      <c r="A32" s="10" t="n">
        <v>26</v>
      </c>
      <c r="B32" s="11" t="n"/>
      <c r="C32" s="11" t="n"/>
      <c r="D32" s="10" t="n"/>
      <c r="E32" s="11" t="n"/>
      <c r="F32" s="11" t="n"/>
      <c r="G32" s="10" t="n"/>
      <c r="H32" s="10" t="n"/>
      <c r="I32" s="10" t="n"/>
      <c r="J32" s="10" t="n"/>
      <c r="K32" s="10" t="n"/>
      <c r="L32" s="10">
        <f>IF(COUNT(H32:K32)=4,H32*(I32+J32+K32),"")</f>
        <v/>
      </c>
      <c r="M32" s="10">
        <f>IF(L32="","",IF(L32&gt;=45,"Alta",IF(L32&gt;=21,"Moderada","Baja")))</f>
        <v/>
      </c>
      <c r="N32" s="10" t="n"/>
      <c r="O32" s="10" t="n"/>
      <c r="P32" s="10">
        <f>IF(AND(D32="E",I32=5),"SÍ","NO")</f>
        <v/>
      </c>
      <c r="Q32" s="10" t="n"/>
      <c r="R32" s="10">
        <f>IF(L32="","",IF(OR(L32&gt;=45,N32="SÍ",O32="SÍ",P32="SÍ",Q32="SÍ"),"SÍ","NO"))</f>
        <v/>
      </c>
      <c r="S32" s="11">
        <f>IF(R32&lt;&gt;"SÍ","",TRIM(IF(L32&gt;=45,"IA≥45 ","")&amp;IF(N32="SÍ","Regulado ","")&amp;IF(O32="SÍ","Queja PI ","")&amp;IF(P32="SÍ","Emergencia ","")&amp;IF(Q32="SÍ","Dirección","")))</f>
        <v/>
      </c>
      <c r="T32" s="11" t="n"/>
    </row>
    <row r="33">
      <c r="A33" s="10" t="n">
        <v>27</v>
      </c>
      <c r="B33" s="11" t="n"/>
      <c r="C33" s="11" t="n"/>
      <c r="D33" s="10" t="n"/>
      <c r="E33" s="11" t="n"/>
      <c r="F33" s="11" t="n"/>
      <c r="G33" s="10" t="n"/>
      <c r="H33" s="10" t="n"/>
      <c r="I33" s="10" t="n"/>
      <c r="J33" s="10" t="n"/>
      <c r="K33" s="10" t="n"/>
      <c r="L33" s="10">
        <f>IF(COUNT(H33:K33)=4,H33*(I33+J33+K33),"")</f>
        <v/>
      </c>
      <c r="M33" s="10">
        <f>IF(L33="","",IF(L33&gt;=45,"Alta",IF(L33&gt;=21,"Moderada","Baja")))</f>
        <v/>
      </c>
      <c r="N33" s="10" t="n"/>
      <c r="O33" s="10" t="n"/>
      <c r="P33" s="10">
        <f>IF(AND(D33="E",I33=5),"SÍ","NO")</f>
        <v/>
      </c>
      <c r="Q33" s="10" t="n"/>
      <c r="R33" s="10">
        <f>IF(L33="","",IF(OR(L33&gt;=45,N33="SÍ",O33="SÍ",P33="SÍ",Q33="SÍ"),"SÍ","NO"))</f>
        <v/>
      </c>
      <c r="S33" s="11">
        <f>IF(R33&lt;&gt;"SÍ","",TRIM(IF(L33&gt;=45,"IA≥45 ","")&amp;IF(N33="SÍ","Regulado ","")&amp;IF(O33="SÍ","Queja PI ","")&amp;IF(P33="SÍ","Emergencia ","")&amp;IF(Q33="SÍ","Dirección","")))</f>
        <v/>
      </c>
      <c r="T33" s="11" t="n"/>
    </row>
    <row r="34">
      <c r="A34" s="10" t="n">
        <v>28</v>
      </c>
      <c r="B34" s="11" t="n"/>
      <c r="C34" s="11" t="n"/>
      <c r="D34" s="10" t="n"/>
      <c r="E34" s="11" t="n"/>
      <c r="F34" s="11" t="n"/>
      <c r="G34" s="10" t="n"/>
      <c r="H34" s="10" t="n"/>
      <c r="I34" s="10" t="n"/>
      <c r="J34" s="10" t="n"/>
      <c r="K34" s="10" t="n"/>
      <c r="L34" s="10">
        <f>IF(COUNT(H34:K34)=4,H34*(I34+J34+K34),"")</f>
        <v/>
      </c>
      <c r="M34" s="10">
        <f>IF(L34="","",IF(L34&gt;=45,"Alta",IF(L34&gt;=21,"Moderada","Baja")))</f>
        <v/>
      </c>
      <c r="N34" s="10" t="n"/>
      <c r="O34" s="10" t="n"/>
      <c r="P34" s="10">
        <f>IF(AND(D34="E",I34=5),"SÍ","NO")</f>
        <v/>
      </c>
      <c r="Q34" s="10" t="n"/>
      <c r="R34" s="10">
        <f>IF(L34="","",IF(OR(L34&gt;=45,N34="SÍ",O34="SÍ",P34="SÍ",Q34="SÍ"),"SÍ","NO"))</f>
        <v/>
      </c>
      <c r="S34" s="11">
        <f>IF(R34&lt;&gt;"SÍ","",TRIM(IF(L34&gt;=45,"IA≥45 ","")&amp;IF(N34="SÍ","Regulado ","")&amp;IF(O34="SÍ","Queja PI ","")&amp;IF(P34="SÍ","Emergencia ","")&amp;IF(Q34="SÍ","Dirección","")))</f>
        <v/>
      </c>
      <c r="T34" s="11" t="n"/>
    </row>
    <row r="35">
      <c r="A35" s="10" t="n">
        <v>29</v>
      </c>
      <c r="B35" s="11" t="n"/>
      <c r="C35" s="11" t="n"/>
      <c r="D35" s="10" t="n"/>
      <c r="E35" s="11" t="n"/>
      <c r="F35" s="11" t="n"/>
      <c r="G35" s="10" t="n"/>
      <c r="H35" s="10" t="n"/>
      <c r="I35" s="10" t="n"/>
      <c r="J35" s="10" t="n"/>
      <c r="K35" s="10" t="n"/>
      <c r="L35" s="10">
        <f>IF(COUNT(H35:K35)=4,H35*(I35+J35+K35),"")</f>
        <v/>
      </c>
      <c r="M35" s="10">
        <f>IF(L35="","",IF(L35&gt;=45,"Alta",IF(L35&gt;=21,"Moderada","Baja")))</f>
        <v/>
      </c>
      <c r="N35" s="10" t="n"/>
      <c r="O35" s="10" t="n"/>
      <c r="P35" s="10">
        <f>IF(AND(D35="E",I35=5),"SÍ","NO")</f>
        <v/>
      </c>
      <c r="Q35" s="10" t="n"/>
      <c r="R35" s="10">
        <f>IF(L35="","",IF(OR(L35&gt;=45,N35="SÍ",O35="SÍ",P35="SÍ",Q35="SÍ"),"SÍ","NO"))</f>
        <v/>
      </c>
      <c r="S35" s="11">
        <f>IF(R35&lt;&gt;"SÍ","",TRIM(IF(L35&gt;=45,"IA≥45 ","")&amp;IF(N35="SÍ","Regulado ","")&amp;IF(O35="SÍ","Queja PI ","")&amp;IF(P35="SÍ","Emergencia ","")&amp;IF(Q35="SÍ","Dirección","")))</f>
        <v/>
      </c>
      <c r="T35" s="11" t="n"/>
    </row>
    <row r="36">
      <c r="A36" s="10" t="n">
        <v>30</v>
      </c>
      <c r="B36" s="11" t="n"/>
      <c r="C36" s="11" t="n"/>
      <c r="D36" s="10" t="n"/>
      <c r="E36" s="11" t="n"/>
      <c r="F36" s="11" t="n"/>
      <c r="G36" s="10" t="n"/>
      <c r="H36" s="10" t="n"/>
      <c r="I36" s="10" t="n"/>
      <c r="J36" s="10" t="n"/>
      <c r="K36" s="10" t="n"/>
      <c r="L36" s="10">
        <f>IF(COUNT(H36:K36)=4,H36*(I36+J36+K36),"")</f>
        <v/>
      </c>
      <c r="M36" s="10">
        <f>IF(L36="","",IF(L36&gt;=45,"Alta",IF(L36&gt;=21,"Moderada","Baja")))</f>
        <v/>
      </c>
      <c r="N36" s="10" t="n"/>
      <c r="O36" s="10" t="n"/>
      <c r="P36" s="10">
        <f>IF(AND(D36="E",I36=5),"SÍ","NO")</f>
        <v/>
      </c>
      <c r="Q36" s="10" t="n"/>
      <c r="R36" s="10">
        <f>IF(L36="","",IF(OR(L36&gt;=45,N36="SÍ",O36="SÍ",P36="SÍ",Q36="SÍ"),"SÍ","NO"))</f>
        <v/>
      </c>
      <c r="S36" s="11">
        <f>IF(R36&lt;&gt;"SÍ","",TRIM(IF(L36&gt;=45,"IA≥45 ","")&amp;IF(N36="SÍ","Regulado ","")&amp;IF(O36="SÍ","Queja PI ","")&amp;IF(P36="SÍ","Emergencia ","")&amp;IF(Q36="SÍ","Dirección","")))</f>
        <v/>
      </c>
      <c r="T36" s="11" t="n"/>
    </row>
    <row r="37">
      <c r="A37" s="10" t="n">
        <v>31</v>
      </c>
      <c r="B37" s="11" t="n"/>
      <c r="C37" s="11" t="n"/>
      <c r="D37" s="10" t="n"/>
      <c r="E37" s="11" t="n"/>
      <c r="F37" s="11" t="n"/>
      <c r="G37" s="10" t="n"/>
      <c r="H37" s="10" t="n"/>
      <c r="I37" s="10" t="n"/>
      <c r="J37" s="10" t="n"/>
      <c r="K37" s="10" t="n"/>
      <c r="L37" s="10">
        <f>IF(COUNT(H37:K37)=4,H37*(I37+J37+K37),"")</f>
        <v/>
      </c>
      <c r="M37" s="10">
        <f>IF(L37="","",IF(L37&gt;=45,"Alta",IF(L37&gt;=21,"Moderada","Baja")))</f>
        <v/>
      </c>
      <c r="N37" s="10" t="n"/>
      <c r="O37" s="10" t="n"/>
      <c r="P37" s="10">
        <f>IF(AND(D37="E",I37=5),"SÍ","NO")</f>
        <v/>
      </c>
      <c r="Q37" s="10" t="n"/>
      <c r="R37" s="10">
        <f>IF(L37="","",IF(OR(L37&gt;=45,N37="SÍ",O37="SÍ",P37="SÍ",Q37="SÍ"),"SÍ","NO"))</f>
        <v/>
      </c>
      <c r="S37" s="11">
        <f>IF(R37&lt;&gt;"SÍ","",TRIM(IF(L37&gt;=45,"IA≥45 ","")&amp;IF(N37="SÍ","Regulado ","")&amp;IF(O37="SÍ","Queja PI ","")&amp;IF(P37="SÍ","Emergencia ","")&amp;IF(Q37="SÍ","Dirección","")))</f>
        <v/>
      </c>
      <c r="T37" s="11" t="n"/>
    </row>
    <row r="38">
      <c r="A38" s="10" t="n">
        <v>32</v>
      </c>
      <c r="B38" s="11" t="n"/>
      <c r="C38" s="11" t="n"/>
      <c r="D38" s="10" t="n"/>
      <c r="E38" s="11" t="n"/>
      <c r="F38" s="11" t="n"/>
      <c r="G38" s="10" t="n"/>
      <c r="H38" s="10" t="n"/>
      <c r="I38" s="10" t="n"/>
      <c r="J38" s="10" t="n"/>
      <c r="K38" s="10" t="n"/>
      <c r="L38" s="10">
        <f>IF(COUNT(H38:K38)=4,H38*(I38+J38+K38),"")</f>
        <v/>
      </c>
      <c r="M38" s="10">
        <f>IF(L38="","",IF(L38&gt;=45,"Alta",IF(L38&gt;=21,"Moderada","Baja")))</f>
        <v/>
      </c>
      <c r="N38" s="10" t="n"/>
      <c r="O38" s="10" t="n"/>
      <c r="P38" s="10">
        <f>IF(AND(D38="E",I38=5),"SÍ","NO")</f>
        <v/>
      </c>
      <c r="Q38" s="10" t="n"/>
      <c r="R38" s="10">
        <f>IF(L38="","",IF(OR(L38&gt;=45,N38="SÍ",O38="SÍ",P38="SÍ",Q38="SÍ"),"SÍ","NO"))</f>
        <v/>
      </c>
      <c r="S38" s="11">
        <f>IF(R38&lt;&gt;"SÍ","",TRIM(IF(L38&gt;=45,"IA≥45 ","")&amp;IF(N38="SÍ","Regulado ","")&amp;IF(O38="SÍ","Queja PI ","")&amp;IF(P38="SÍ","Emergencia ","")&amp;IF(Q38="SÍ","Dirección","")))</f>
        <v/>
      </c>
      <c r="T38" s="11" t="n"/>
    </row>
    <row r="39">
      <c r="A39" s="10" t="n">
        <v>33</v>
      </c>
      <c r="B39" s="11" t="n"/>
      <c r="C39" s="11" t="n"/>
      <c r="D39" s="10" t="n"/>
      <c r="E39" s="11" t="n"/>
      <c r="F39" s="11" t="n"/>
      <c r="G39" s="10" t="n"/>
      <c r="H39" s="10" t="n"/>
      <c r="I39" s="10" t="n"/>
      <c r="J39" s="10" t="n"/>
      <c r="K39" s="10" t="n"/>
      <c r="L39" s="10">
        <f>IF(COUNT(H39:K39)=4,H39*(I39+J39+K39),"")</f>
        <v/>
      </c>
      <c r="M39" s="10">
        <f>IF(L39="","",IF(L39&gt;=45,"Alta",IF(L39&gt;=21,"Moderada","Baja")))</f>
        <v/>
      </c>
      <c r="N39" s="10" t="n"/>
      <c r="O39" s="10" t="n"/>
      <c r="P39" s="10">
        <f>IF(AND(D39="E",I39=5),"SÍ","NO")</f>
        <v/>
      </c>
      <c r="Q39" s="10" t="n"/>
      <c r="R39" s="10">
        <f>IF(L39="","",IF(OR(L39&gt;=45,N39="SÍ",O39="SÍ",P39="SÍ",Q39="SÍ"),"SÍ","NO"))</f>
        <v/>
      </c>
      <c r="S39" s="11">
        <f>IF(R39&lt;&gt;"SÍ","",TRIM(IF(L39&gt;=45,"IA≥45 ","")&amp;IF(N39="SÍ","Regulado ","")&amp;IF(O39="SÍ","Queja PI ","")&amp;IF(P39="SÍ","Emergencia ","")&amp;IF(Q39="SÍ","Dirección","")))</f>
        <v/>
      </c>
      <c r="T39" s="11" t="n"/>
    </row>
    <row r="40">
      <c r="A40" s="10" t="n">
        <v>34</v>
      </c>
      <c r="B40" s="11" t="n"/>
      <c r="C40" s="11" t="n"/>
      <c r="D40" s="10" t="n"/>
      <c r="E40" s="11" t="n"/>
      <c r="F40" s="11" t="n"/>
      <c r="G40" s="10" t="n"/>
      <c r="H40" s="10" t="n"/>
      <c r="I40" s="10" t="n"/>
      <c r="J40" s="10" t="n"/>
      <c r="K40" s="10" t="n"/>
      <c r="L40" s="10">
        <f>IF(COUNT(H40:K40)=4,H40*(I40+J40+K40),"")</f>
        <v/>
      </c>
      <c r="M40" s="10">
        <f>IF(L40="","",IF(L40&gt;=45,"Alta",IF(L40&gt;=21,"Moderada","Baja")))</f>
        <v/>
      </c>
      <c r="N40" s="10" t="n"/>
      <c r="O40" s="10" t="n"/>
      <c r="P40" s="10">
        <f>IF(AND(D40="E",I40=5),"SÍ","NO")</f>
        <v/>
      </c>
      <c r="Q40" s="10" t="n"/>
      <c r="R40" s="10">
        <f>IF(L40="","",IF(OR(L40&gt;=45,N40="SÍ",O40="SÍ",P40="SÍ",Q40="SÍ"),"SÍ","NO"))</f>
        <v/>
      </c>
      <c r="S40" s="11">
        <f>IF(R40&lt;&gt;"SÍ","",TRIM(IF(L40&gt;=45,"IA≥45 ","")&amp;IF(N40="SÍ","Regulado ","")&amp;IF(O40="SÍ","Queja PI ","")&amp;IF(P40="SÍ","Emergencia ","")&amp;IF(Q40="SÍ","Dirección","")))</f>
        <v/>
      </c>
      <c r="T40" s="11" t="n"/>
    </row>
    <row r="41">
      <c r="A41" s="10" t="n">
        <v>35</v>
      </c>
      <c r="B41" s="11" t="n"/>
      <c r="C41" s="11" t="n"/>
      <c r="D41" s="10" t="n"/>
      <c r="E41" s="11" t="n"/>
      <c r="F41" s="11" t="n"/>
      <c r="G41" s="10" t="n"/>
      <c r="H41" s="10" t="n"/>
      <c r="I41" s="10" t="n"/>
      <c r="J41" s="10" t="n"/>
      <c r="K41" s="10" t="n"/>
      <c r="L41" s="10">
        <f>IF(COUNT(H41:K41)=4,H41*(I41+J41+K41),"")</f>
        <v/>
      </c>
      <c r="M41" s="10">
        <f>IF(L41="","",IF(L41&gt;=45,"Alta",IF(L41&gt;=21,"Moderada","Baja")))</f>
        <v/>
      </c>
      <c r="N41" s="10" t="n"/>
      <c r="O41" s="10" t="n"/>
      <c r="P41" s="10">
        <f>IF(AND(D41="E",I41=5),"SÍ","NO")</f>
        <v/>
      </c>
      <c r="Q41" s="10" t="n"/>
      <c r="R41" s="10">
        <f>IF(L41="","",IF(OR(L41&gt;=45,N41="SÍ",O41="SÍ",P41="SÍ",Q41="SÍ"),"SÍ","NO"))</f>
        <v/>
      </c>
      <c r="S41" s="11">
        <f>IF(R41&lt;&gt;"SÍ","",TRIM(IF(L41&gt;=45,"IA≥45 ","")&amp;IF(N41="SÍ","Regulado ","")&amp;IF(O41="SÍ","Queja PI ","")&amp;IF(P41="SÍ","Emergencia ","")&amp;IF(Q41="SÍ","Dirección","")))</f>
        <v/>
      </c>
      <c r="T41" s="11" t="n"/>
    </row>
    <row r="42">
      <c r="A42" s="10" t="n">
        <v>36</v>
      </c>
      <c r="B42" s="11" t="n"/>
      <c r="C42" s="11" t="n"/>
      <c r="D42" s="10" t="n"/>
      <c r="E42" s="11" t="n"/>
      <c r="F42" s="11" t="n"/>
      <c r="G42" s="10" t="n"/>
      <c r="H42" s="10" t="n"/>
      <c r="I42" s="10" t="n"/>
      <c r="J42" s="10" t="n"/>
      <c r="K42" s="10" t="n"/>
      <c r="L42" s="10">
        <f>IF(COUNT(H42:K42)=4,H42*(I42+J42+K42),"")</f>
        <v/>
      </c>
      <c r="M42" s="10">
        <f>IF(L42="","",IF(L42&gt;=45,"Alta",IF(L42&gt;=21,"Moderada","Baja")))</f>
        <v/>
      </c>
      <c r="N42" s="10" t="n"/>
      <c r="O42" s="10" t="n"/>
      <c r="P42" s="10">
        <f>IF(AND(D42="E",I42=5),"SÍ","NO")</f>
        <v/>
      </c>
      <c r="Q42" s="10" t="n"/>
      <c r="R42" s="10">
        <f>IF(L42="","",IF(OR(L42&gt;=45,N42="SÍ",O42="SÍ",P42="SÍ",Q42="SÍ"),"SÍ","NO"))</f>
        <v/>
      </c>
      <c r="S42" s="11">
        <f>IF(R42&lt;&gt;"SÍ","",TRIM(IF(L42&gt;=45,"IA≥45 ","")&amp;IF(N42="SÍ","Regulado ","")&amp;IF(O42="SÍ","Queja PI ","")&amp;IF(P42="SÍ","Emergencia ","")&amp;IF(Q42="SÍ","Dirección","")))</f>
        <v/>
      </c>
      <c r="T42" s="11" t="n"/>
    </row>
    <row r="43">
      <c r="A43" s="10" t="n">
        <v>37</v>
      </c>
      <c r="B43" s="11" t="n"/>
      <c r="C43" s="11" t="n"/>
      <c r="D43" s="10" t="n"/>
      <c r="E43" s="11" t="n"/>
      <c r="F43" s="11" t="n"/>
      <c r="G43" s="10" t="n"/>
      <c r="H43" s="10" t="n"/>
      <c r="I43" s="10" t="n"/>
      <c r="J43" s="10" t="n"/>
      <c r="K43" s="10" t="n"/>
      <c r="L43" s="10">
        <f>IF(COUNT(H43:K43)=4,H43*(I43+J43+K43),"")</f>
        <v/>
      </c>
      <c r="M43" s="10">
        <f>IF(L43="","",IF(L43&gt;=45,"Alta",IF(L43&gt;=21,"Moderada","Baja")))</f>
        <v/>
      </c>
      <c r="N43" s="10" t="n"/>
      <c r="O43" s="10" t="n"/>
      <c r="P43" s="10">
        <f>IF(AND(D43="E",I43=5),"SÍ","NO")</f>
        <v/>
      </c>
      <c r="Q43" s="10" t="n"/>
      <c r="R43" s="10">
        <f>IF(L43="","",IF(OR(L43&gt;=45,N43="SÍ",O43="SÍ",P43="SÍ",Q43="SÍ"),"SÍ","NO"))</f>
        <v/>
      </c>
      <c r="S43" s="11">
        <f>IF(R43&lt;&gt;"SÍ","",TRIM(IF(L43&gt;=45,"IA≥45 ","")&amp;IF(N43="SÍ","Regulado ","")&amp;IF(O43="SÍ","Queja PI ","")&amp;IF(P43="SÍ","Emergencia ","")&amp;IF(Q43="SÍ","Dirección","")))</f>
        <v/>
      </c>
      <c r="T43" s="11" t="n"/>
    </row>
    <row r="44">
      <c r="A44" s="10" t="n">
        <v>38</v>
      </c>
      <c r="B44" s="11" t="n"/>
      <c r="C44" s="11" t="n"/>
      <c r="D44" s="10" t="n"/>
      <c r="E44" s="11" t="n"/>
      <c r="F44" s="11" t="n"/>
      <c r="G44" s="10" t="n"/>
      <c r="H44" s="10" t="n"/>
      <c r="I44" s="10" t="n"/>
      <c r="J44" s="10" t="n"/>
      <c r="K44" s="10" t="n"/>
      <c r="L44" s="10">
        <f>IF(COUNT(H44:K44)=4,H44*(I44+J44+K44),"")</f>
        <v/>
      </c>
      <c r="M44" s="10">
        <f>IF(L44="","",IF(L44&gt;=45,"Alta",IF(L44&gt;=21,"Moderada","Baja")))</f>
        <v/>
      </c>
      <c r="N44" s="10" t="n"/>
      <c r="O44" s="10" t="n"/>
      <c r="P44" s="10">
        <f>IF(AND(D44="E",I44=5),"SÍ","NO")</f>
        <v/>
      </c>
      <c r="Q44" s="10" t="n"/>
      <c r="R44" s="10">
        <f>IF(L44="","",IF(OR(L44&gt;=45,N44="SÍ",O44="SÍ",P44="SÍ",Q44="SÍ"),"SÍ","NO"))</f>
        <v/>
      </c>
      <c r="S44" s="11">
        <f>IF(R44&lt;&gt;"SÍ","",TRIM(IF(L44&gt;=45,"IA≥45 ","")&amp;IF(N44="SÍ","Regulado ","")&amp;IF(O44="SÍ","Queja PI ","")&amp;IF(P44="SÍ","Emergencia ","")&amp;IF(Q44="SÍ","Dirección","")))</f>
        <v/>
      </c>
      <c r="T44" s="11" t="n"/>
    </row>
    <row r="45">
      <c r="A45" s="10" t="n">
        <v>39</v>
      </c>
      <c r="B45" s="11" t="n"/>
      <c r="C45" s="11" t="n"/>
      <c r="D45" s="10" t="n"/>
      <c r="E45" s="11" t="n"/>
      <c r="F45" s="11" t="n"/>
      <c r="G45" s="10" t="n"/>
      <c r="H45" s="10" t="n"/>
      <c r="I45" s="10" t="n"/>
      <c r="J45" s="10" t="n"/>
      <c r="K45" s="10" t="n"/>
      <c r="L45" s="10">
        <f>IF(COUNT(H45:K45)=4,H45*(I45+J45+K45),"")</f>
        <v/>
      </c>
      <c r="M45" s="10">
        <f>IF(L45="","",IF(L45&gt;=45,"Alta",IF(L45&gt;=21,"Moderada","Baja")))</f>
        <v/>
      </c>
      <c r="N45" s="10" t="n"/>
      <c r="O45" s="10" t="n"/>
      <c r="P45" s="10">
        <f>IF(AND(D45="E",I45=5),"SÍ","NO")</f>
        <v/>
      </c>
      <c r="Q45" s="10" t="n"/>
      <c r="R45" s="10">
        <f>IF(L45="","",IF(OR(L45&gt;=45,N45="SÍ",O45="SÍ",P45="SÍ",Q45="SÍ"),"SÍ","NO"))</f>
        <v/>
      </c>
      <c r="S45" s="11">
        <f>IF(R45&lt;&gt;"SÍ","",TRIM(IF(L45&gt;=45,"IA≥45 ","")&amp;IF(N45="SÍ","Regulado ","")&amp;IF(O45="SÍ","Queja PI ","")&amp;IF(P45="SÍ","Emergencia ","")&amp;IF(Q45="SÍ","Dirección","")))</f>
        <v/>
      </c>
      <c r="T45" s="11" t="n"/>
    </row>
    <row r="46">
      <c r="A46" s="10" t="n">
        <v>40</v>
      </c>
      <c r="B46" s="11" t="n"/>
      <c r="C46" s="11" t="n"/>
      <c r="D46" s="10" t="n"/>
      <c r="E46" s="11" t="n"/>
      <c r="F46" s="11" t="n"/>
      <c r="G46" s="10" t="n"/>
      <c r="H46" s="10" t="n"/>
      <c r="I46" s="10" t="n"/>
      <c r="J46" s="10" t="n"/>
      <c r="K46" s="10" t="n"/>
      <c r="L46" s="10">
        <f>IF(COUNT(H46:K46)=4,H46*(I46+J46+K46),"")</f>
        <v/>
      </c>
      <c r="M46" s="10">
        <f>IF(L46="","",IF(L46&gt;=45,"Alta",IF(L46&gt;=21,"Moderada","Baja")))</f>
        <v/>
      </c>
      <c r="N46" s="10" t="n"/>
      <c r="O46" s="10" t="n"/>
      <c r="P46" s="10">
        <f>IF(AND(D46="E",I46=5),"SÍ","NO")</f>
        <v/>
      </c>
      <c r="Q46" s="10" t="n"/>
      <c r="R46" s="10">
        <f>IF(L46="","",IF(OR(L46&gt;=45,N46="SÍ",O46="SÍ",P46="SÍ",Q46="SÍ"),"SÍ","NO"))</f>
        <v/>
      </c>
      <c r="S46" s="11">
        <f>IF(R46&lt;&gt;"SÍ","",TRIM(IF(L46&gt;=45,"IA≥45 ","")&amp;IF(N46="SÍ","Regulado ","")&amp;IF(O46="SÍ","Queja PI ","")&amp;IF(P46="SÍ","Emergencia ","")&amp;IF(Q46="SÍ","Dirección","")))</f>
        <v/>
      </c>
      <c r="T46" s="11" t="n"/>
    </row>
    <row r="47">
      <c r="A47" s="10" t="n">
        <v>41</v>
      </c>
      <c r="B47" s="11" t="n"/>
      <c r="C47" s="11" t="n"/>
      <c r="D47" s="10" t="n"/>
      <c r="E47" s="11" t="n"/>
      <c r="F47" s="11" t="n"/>
      <c r="G47" s="10" t="n"/>
      <c r="H47" s="10" t="n"/>
      <c r="I47" s="10" t="n"/>
      <c r="J47" s="10" t="n"/>
      <c r="K47" s="10" t="n"/>
      <c r="L47" s="10">
        <f>IF(COUNT(H47:K47)=4,H47*(I47+J47+K47),"")</f>
        <v/>
      </c>
      <c r="M47" s="10">
        <f>IF(L47="","",IF(L47&gt;=45,"Alta",IF(L47&gt;=21,"Moderada","Baja")))</f>
        <v/>
      </c>
      <c r="N47" s="10" t="n"/>
      <c r="O47" s="10" t="n"/>
      <c r="P47" s="10">
        <f>IF(AND(D47="E",I47=5),"SÍ","NO")</f>
        <v/>
      </c>
      <c r="Q47" s="10" t="n"/>
      <c r="R47" s="10">
        <f>IF(L47="","",IF(OR(L47&gt;=45,N47="SÍ",O47="SÍ",P47="SÍ",Q47="SÍ"),"SÍ","NO"))</f>
        <v/>
      </c>
      <c r="S47" s="11">
        <f>IF(R47&lt;&gt;"SÍ","",TRIM(IF(L47&gt;=45,"IA≥45 ","")&amp;IF(N47="SÍ","Regulado ","")&amp;IF(O47="SÍ","Queja PI ","")&amp;IF(P47="SÍ","Emergencia ","")&amp;IF(Q47="SÍ","Dirección","")))</f>
        <v/>
      </c>
      <c r="T47" s="11" t="n"/>
    </row>
    <row r="48">
      <c r="A48" s="10" t="n">
        <v>42</v>
      </c>
      <c r="B48" s="11" t="n"/>
      <c r="C48" s="11" t="n"/>
      <c r="D48" s="10" t="n"/>
      <c r="E48" s="11" t="n"/>
      <c r="F48" s="11" t="n"/>
      <c r="G48" s="10" t="n"/>
      <c r="H48" s="10" t="n"/>
      <c r="I48" s="10" t="n"/>
      <c r="J48" s="10" t="n"/>
      <c r="K48" s="10" t="n"/>
      <c r="L48" s="10">
        <f>IF(COUNT(H48:K48)=4,H48*(I48+J48+K48),"")</f>
        <v/>
      </c>
      <c r="M48" s="10">
        <f>IF(L48="","",IF(L48&gt;=45,"Alta",IF(L48&gt;=21,"Moderada","Baja")))</f>
        <v/>
      </c>
      <c r="N48" s="10" t="n"/>
      <c r="O48" s="10" t="n"/>
      <c r="P48" s="10">
        <f>IF(AND(D48="E",I48=5),"SÍ","NO")</f>
        <v/>
      </c>
      <c r="Q48" s="10" t="n"/>
      <c r="R48" s="10">
        <f>IF(L48="","",IF(OR(L48&gt;=45,N48="SÍ",O48="SÍ",P48="SÍ",Q48="SÍ"),"SÍ","NO"))</f>
        <v/>
      </c>
      <c r="S48" s="11">
        <f>IF(R48&lt;&gt;"SÍ","",TRIM(IF(L48&gt;=45,"IA≥45 ","")&amp;IF(N48="SÍ","Regulado ","")&amp;IF(O48="SÍ","Queja PI ","")&amp;IF(P48="SÍ","Emergencia ","")&amp;IF(Q48="SÍ","Dirección","")))</f>
        <v/>
      </c>
      <c r="T48" s="11" t="n"/>
    </row>
    <row r="49">
      <c r="A49" s="10" t="n">
        <v>43</v>
      </c>
      <c r="B49" s="11" t="n"/>
      <c r="C49" s="11" t="n"/>
      <c r="D49" s="10" t="n"/>
      <c r="E49" s="11" t="n"/>
      <c r="F49" s="11" t="n"/>
      <c r="G49" s="10" t="n"/>
      <c r="H49" s="10" t="n"/>
      <c r="I49" s="10" t="n"/>
      <c r="J49" s="10" t="n"/>
      <c r="K49" s="10" t="n"/>
      <c r="L49" s="10">
        <f>IF(COUNT(H49:K49)=4,H49*(I49+J49+K49),"")</f>
        <v/>
      </c>
      <c r="M49" s="10">
        <f>IF(L49="","",IF(L49&gt;=45,"Alta",IF(L49&gt;=21,"Moderada","Baja")))</f>
        <v/>
      </c>
      <c r="N49" s="10" t="n"/>
      <c r="O49" s="10" t="n"/>
      <c r="P49" s="10">
        <f>IF(AND(D49="E",I49=5),"SÍ","NO")</f>
        <v/>
      </c>
      <c r="Q49" s="10" t="n"/>
      <c r="R49" s="10">
        <f>IF(L49="","",IF(OR(L49&gt;=45,N49="SÍ",O49="SÍ",P49="SÍ",Q49="SÍ"),"SÍ","NO"))</f>
        <v/>
      </c>
      <c r="S49" s="11">
        <f>IF(R49&lt;&gt;"SÍ","",TRIM(IF(L49&gt;=45,"IA≥45 ","")&amp;IF(N49="SÍ","Regulado ","")&amp;IF(O49="SÍ","Queja PI ","")&amp;IF(P49="SÍ","Emergencia ","")&amp;IF(Q49="SÍ","Dirección","")))</f>
        <v/>
      </c>
      <c r="T49" s="11" t="n"/>
    </row>
    <row r="50">
      <c r="A50" s="10" t="n">
        <v>44</v>
      </c>
      <c r="B50" s="11" t="n"/>
      <c r="C50" s="11" t="n"/>
      <c r="D50" s="10" t="n"/>
      <c r="E50" s="11" t="n"/>
      <c r="F50" s="11" t="n"/>
      <c r="G50" s="10" t="n"/>
      <c r="H50" s="10" t="n"/>
      <c r="I50" s="10" t="n"/>
      <c r="J50" s="10" t="n"/>
      <c r="K50" s="10" t="n"/>
      <c r="L50" s="10">
        <f>IF(COUNT(H50:K50)=4,H50*(I50+J50+K50),"")</f>
        <v/>
      </c>
      <c r="M50" s="10">
        <f>IF(L50="","",IF(L50&gt;=45,"Alta",IF(L50&gt;=21,"Moderada","Baja")))</f>
        <v/>
      </c>
      <c r="N50" s="10" t="n"/>
      <c r="O50" s="10" t="n"/>
      <c r="P50" s="10">
        <f>IF(AND(D50="E",I50=5),"SÍ","NO")</f>
        <v/>
      </c>
      <c r="Q50" s="10" t="n"/>
      <c r="R50" s="10">
        <f>IF(L50="","",IF(OR(L50&gt;=45,N50="SÍ",O50="SÍ",P50="SÍ",Q50="SÍ"),"SÍ","NO"))</f>
        <v/>
      </c>
      <c r="S50" s="11">
        <f>IF(R50&lt;&gt;"SÍ","",TRIM(IF(L50&gt;=45,"IA≥45 ","")&amp;IF(N50="SÍ","Regulado ","")&amp;IF(O50="SÍ","Queja PI ","")&amp;IF(P50="SÍ","Emergencia ","")&amp;IF(Q50="SÍ","Dirección","")))</f>
        <v/>
      </c>
      <c r="T50" s="11" t="n"/>
    </row>
    <row r="51">
      <c r="A51" s="10" t="n">
        <v>45</v>
      </c>
      <c r="B51" s="11" t="n"/>
      <c r="C51" s="11" t="n"/>
      <c r="D51" s="10" t="n"/>
      <c r="E51" s="11" t="n"/>
      <c r="F51" s="11" t="n"/>
      <c r="G51" s="10" t="n"/>
      <c r="H51" s="10" t="n"/>
      <c r="I51" s="10" t="n"/>
      <c r="J51" s="10" t="n"/>
      <c r="K51" s="10" t="n"/>
      <c r="L51" s="10">
        <f>IF(COUNT(H51:K51)=4,H51*(I51+J51+K51),"")</f>
        <v/>
      </c>
      <c r="M51" s="10">
        <f>IF(L51="","",IF(L51&gt;=45,"Alta",IF(L51&gt;=21,"Moderada","Baja")))</f>
        <v/>
      </c>
      <c r="N51" s="10" t="n"/>
      <c r="O51" s="10" t="n"/>
      <c r="P51" s="10">
        <f>IF(AND(D51="E",I51=5),"SÍ","NO")</f>
        <v/>
      </c>
      <c r="Q51" s="10" t="n"/>
      <c r="R51" s="10">
        <f>IF(L51="","",IF(OR(L51&gt;=45,N51="SÍ",O51="SÍ",P51="SÍ",Q51="SÍ"),"SÍ","NO"))</f>
        <v/>
      </c>
      <c r="S51" s="11">
        <f>IF(R51&lt;&gt;"SÍ","",TRIM(IF(L51&gt;=45,"IA≥45 ","")&amp;IF(N51="SÍ","Regulado ","")&amp;IF(O51="SÍ","Queja PI ","")&amp;IF(P51="SÍ","Emergencia ","")&amp;IF(Q51="SÍ","Dirección","")))</f>
        <v/>
      </c>
      <c r="T51" s="11" t="n"/>
    </row>
    <row r="52">
      <c r="A52" s="10" t="n">
        <v>46</v>
      </c>
      <c r="B52" s="11" t="n"/>
      <c r="C52" s="11" t="n"/>
      <c r="D52" s="10" t="n"/>
      <c r="E52" s="11" t="n"/>
      <c r="F52" s="11" t="n"/>
      <c r="G52" s="10" t="n"/>
      <c r="H52" s="10" t="n"/>
      <c r="I52" s="10" t="n"/>
      <c r="J52" s="10" t="n"/>
      <c r="K52" s="10" t="n"/>
      <c r="L52" s="10">
        <f>IF(COUNT(H52:K52)=4,H52*(I52+J52+K52),"")</f>
        <v/>
      </c>
      <c r="M52" s="10">
        <f>IF(L52="","",IF(L52&gt;=45,"Alta",IF(L52&gt;=21,"Moderada","Baja")))</f>
        <v/>
      </c>
      <c r="N52" s="10" t="n"/>
      <c r="O52" s="10" t="n"/>
      <c r="P52" s="10">
        <f>IF(AND(D52="E",I52=5),"SÍ","NO")</f>
        <v/>
      </c>
      <c r="Q52" s="10" t="n"/>
      <c r="R52" s="10">
        <f>IF(L52="","",IF(OR(L52&gt;=45,N52="SÍ",O52="SÍ",P52="SÍ",Q52="SÍ"),"SÍ","NO"))</f>
        <v/>
      </c>
      <c r="S52" s="11">
        <f>IF(R52&lt;&gt;"SÍ","",TRIM(IF(L52&gt;=45,"IA≥45 ","")&amp;IF(N52="SÍ","Regulado ","")&amp;IF(O52="SÍ","Queja PI ","")&amp;IF(P52="SÍ","Emergencia ","")&amp;IF(Q52="SÍ","Dirección","")))</f>
        <v/>
      </c>
      <c r="T52" s="11" t="n"/>
    </row>
    <row r="53">
      <c r="A53" s="10" t="n">
        <v>47</v>
      </c>
      <c r="B53" s="11" t="n"/>
      <c r="C53" s="11" t="n"/>
      <c r="D53" s="10" t="n"/>
      <c r="E53" s="11" t="n"/>
      <c r="F53" s="11" t="n"/>
      <c r="G53" s="10" t="n"/>
      <c r="H53" s="10" t="n"/>
      <c r="I53" s="10" t="n"/>
      <c r="J53" s="10" t="n"/>
      <c r="K53" s="10" t="n"/>
      <c r="L53" s="10">
        <f>IF(COUNT(H53:K53)=4,H53*(I53+J53+K53),"")</f>
        <v/>
      </c>
      <c r="M53" s="10">
        <f>IF(L53="","",IF(L53&gt;=45,"Alta",IF(L53&gt;=21,"Moderada","Baja")))</f>
        <v/>
      </c>
      <c r="N53" s="10" t="n"/>
      <c r="O53" s="10" t="n"/>
      <c r="P53" s="10">
        <f>IF(AND(D53="E",I53=5),"SÍ","NO")</f>
        <v/>
      </c>
      <c r="Q53" s="10" t="n"/>
      <c r="R53" s="10">
        <f>IF(L53="","",IF(OR(L53&gt;=45,N53="SÍ",O53="SÍ",P53="SÍ",Q53="SÍ"),"SÍ","NO"))</f>
        <v/>
      </c>
      <c r="S53" s="11">
        <f>IF(R53&lt;&gt;"SÍ","",TRIM(IF(L53&gt;=45,"IA≥45 ","")&amp;IF(N53="SÍ","Regulado ","")&amp;IF(O53="SÍ","Queja PI ","")&amp;IF(P53="SÍ","Emergencia ","")&amp;IF(Q53="SÍ","Dirección","")))</f>
        <v/>
      </c>
      <c r="T53" s="11" t="n"/>
    </row>
    <row r="54">
      <c r="A54" s="10" t="n">
        <v>48</v>
      </c>
      <c r="B54" s="11" t="n"/>
      <c r="C54" s="11" t="n"/>
      <c r="D54" s="10" t="n"/>
      <c r="E54" s="11" t="n"/>
      <c r="F54" s="11" t="n"/>
      <c r="G54" s="10" t="n"/>
      <c r="H54" s="10" t="n"/>
      <c r="I54" s="10" t="n"/>
      <c r="J54" s="10" t="n"/>
      <c r="K54" s="10" t="n"/>
      <c r="L54" s="10">
        <f>IF(COUNT(H54:K54)=4,H54*(I54+J54+K54),"")</f>
        <v/>
      </c>
      <c r="M54" s="10">
        <f>IF(L54="","",IF(L54&gt;=45,"Alta",IF(L54&gt;=21,"Moderada","Baja")))</f>
        <v/>
      </c>
      <c r="N54" s="10" t="n"/>
      <c r="O54" s="10" t="n"/>
      <c r="P54" s="10">
        <f>IF(AND(D54="E",I54=5),"SÍ","NO")</f>
        <v/>
      </c>
      <c r="Q54" s="10" t="n"/>
      <c r="R54" s="10">
        <f>IF(L54="","",IF(OR(L54&gt;=45,N54="SÍ",O54="SÍ",P54="SÍ",Q54="SÍ"),"SÍ","NO"))</f>
        <v/>
      </c>
      <c r="S54" s="11">
        <f>IF(R54&lt;&gt;"SÍ","",TRIM(IF(L54&gt;=45,"IA≥45 ","")&amp;IF(N54="SÍ","Regulado ","")&amp;IF(O54="SÍ","Queja PI ","")&amp;IF(P54="SÍ","Emergencia ","")&amp;IF(Q54="SÍ","Dirección","")))</f>
        <v/>
      </c>
      <c r="T54" s="11" t="n"/>
    </row>
    <row r="55">
      <c r="A55" s="10" t="n">
        <v>49</v>
      </c>
      <c r="B55" s="11" t="n"/>
      <c r="C55" s="11" t="n"/>
      <c r="D55" s="10" t="n"/>
      <c r="E55" s="11" t="n"/>
      <c r="F55" s="11" t="n"/>
      <c r="G55" s="10" t="n"/>
      <c r="H55" s="10" t="n"/>
      <c r="I55" s="10" t="n"/>
      <c r="J55" s="10" t="n"/>
      <c r="K55" s="10" t="n"/>
      <c r="L55" s="10">
        <f>IF(COUNT(H55:K55)=4,H55*(I55+J55+K55),"")</f>
        <v/>
      </c>
      <c r="M55" s="10">
        <f>IF(L55="","",IF(L55&gt;=45,"Alta",IF(L55&gt;=21,"Moderada","Baja")))</f>
        <v/>
      </c>
      <c r="N55" s="10" t="n"/>
      <c r="O55" s="10" t="n"/>
      <c r="P55" s="10">
        <f>IF(AND(D55="E",I55=5),"SÍ","NO")</f>
        <v/>
      </c>
      <c r="Q55" s="10" t="n"/>
      <c r="R55" s="10">
        <f>IF(L55="","",IF(OR(L55&gt;=45,N55="SÍ",O55="SÍ",P55="SÍ",Q55="SÍ"),"SÍ","NO"))</f>
        <v/>
      </c>
      <c r="S55" s="11">
        <f>IF(R55&lt;&gt;"SÍ","",TRIM(IF(L55&gt;=45,"IA≥45 ","")&amp;IF(N55="SÍ","Regulado ","")&amp;IF(O55="SÍ","Queja PI ","")&amp;IF(P55="SÍ","Emergencia ","")&amp;IF(Q55="SÍ","Dirección","")))</f>
        <v/>
      </c>
      <c r="T55" s="11" t="n"/>
    </row>
    <row r="56">
      <c r="A56" s="10" t="n">
        <v>50</v>
      </c>
      <c r="B56" s="11" t="n"/>
      <c r="C56" s="11" t="n"/>
      <c r="D56" s="10" t="n"/>
      <c r="E56" s="11" t="n"/>
      <c r="F56" s="11" t="n"/>
      <c r="G56" s="10" t="n"/>
      <c r="H56" s="10" t="n"/>
      <c r="I56" s="10" t="n"/>
      <c r="J56" s="10" t="n"/>
      <c r="K56" s="10" t="n"/>
      <c r="L56" s="10">
        <f>IF(COUNT(H56:K56)=4,H56*(I56+J56+K56),"")</f>
        <v/>
      </c>
      <c r="M56" s="10">
        <f>IF(L56="","",IF(L56&gt;=45,"Alta",IF(L56&gt;=21,"Moderada","Baja")))</f>
        <v/>
      </c>
      <c r="N56" s="10" t="n"/>
      <c r="O56" s="10" t="n"/>
      <c r="P56" s="10">
        <f>IF(AND(D56="E",I56=5),"SÍ","NO")</f>
        <v/>
      </c>
      <c r="Q56" s="10" t="n"/>
      <c r="R56" s="10">
        <f>IF(L56="","",IF(OR(L56&gt;=45,N56="SÍ",O56="SÍ",P56="SÍ",Q56="SÍ"),"SÍ","NO"))</f>
        <v/>
      </c>
      <c r="S56" s="11">
        <f>IF(R56&lt;&gt;"SÍ","",TRIM(IF(L56&gt;=45,"IA≥45 ","")&amp;IF(N56="SÍ","Regulado ","")&amp;IF(O56="SÍ","Queja PI ","")&amp;IF(P56="SÍ","Emergencia ","")&amp;IF(Q56="SÍ","Dirección","")))</f>
        <v/>
      </c>
      <c r="T56" s="11" t="n"/>
    </row>
    <row r="57">
      <c r="A57" s="10" t="n">
        <v>51</v>
      </c>
      <c r="B57" s="11" t="n"/>
      <c r="C57" s="11" t="n"/>
      <c r="D57" s="10" t="n"/>
      <c r="E57" s="11" t="n"/>
      <c r="F57" s="11" t="n"/>
      <c r="G57" s="10" t="n"/>
      <c r="H57" s="10" t="n"/>
      <c r="I57" s="10" t="n"/>
      <c r="J57" s="10" t="n"/>
      <c r="K57" s="10" t="n"/>
      <c r="L57" s="10">
        <f>IF(COUNT(H57:K57)=4,H57*(I57+J57+K57),"")</f>
        <v/>
      </c>
      <c r="M57" s="10">
        <f>IF(L57="","",IF(L57&gt;=45,"Alta",IF(L57&gt;=21,"Moderada","Baja")))</f>
        <v/>
      </c>
      <c r="N57" s="10" t="n"/>
      <c r="O57" s="10" t="n"/>
      <c r="P57" s="10">
        <f>IF(AND(D57="E",I57=5),"SÍ","NO")</f>
        <v/>
      </c>
      <c r="Q57" s="10" t="n"/>
      <c r="R57" s="10">
        <f>IF(L57="","",IF(OR(L57&gt;=45,N57="SÍ",O57="SÍ",P57="SÍ",Q57="SÍ"),"SÍ","NO"))</f>
        <v/>
      </c>
      <c r="S57" s="11">
        <f>IF(R57&lt;&gt;"SÍ","",TRIM(IF(L57&gt;=45,"IA≥45 ","")&amp;IF(N57="SÍ","Regulado ","")&amp;IF(O57="SÍ","Queja PI ","")&amp;IF(P57="SÍ","Emergencia ","")&amp;IF(Q57="SÍ","Dirección","")))</f>
        <v/>
      </c>
      <c r="T57" s="11" t="n"/>
    </row>
    <row r="58">
      <c r="A58" s="10" t="n">
        <v>52</v>
      </c>
      <c r="B58" s="11" t="n"/>
      <c r="C58" s="11" t="n"/>
      <c r="D58" s="10" t="n"/>
      <c r="E58" s="11" t="n"/>
      <c r="F58" s="11" t="n"/>
      <c r="G58" s="10" t="n"/>
      <c r="H58" s="10" t="n"/>
      <c r="I58" s="10" t="n"/>
      <c r="J58" s="10" t="n"/>
      <c r="K58" s="10" t="n"/>
      <c r="L58" s="10">
        <f>IF(COUNT(H58:K58)=4,H58*(I58+J58+K58),"")</f>
        <v/>
      </c>
      <c r="M58" s="10">
        <f>IF(L58="","",IF(L58&gt;=45,"Alta",IF(L58&gt;=21,"Moderada","Baja")))</f>
        <v/>
      </c>
      <c r="N58" s="10" t="n"/>
      <c r="O58" s="10" t="n"/>
      <c r="P58" s="10">
        <f>IF(AND(D58="E",I58=5),"SÍ","NO")</f>
        <v/>
      </c>
      <c r="Q58" s="10" t="n"/>
      <c r="R58" s="10">
        <f>IF(L58="","",IF(OR(L58&gt;=45,N58="SÍ",O58="SÍ",P58="SÍ",Q58="SÍ"),"SÍ","NO"))</f>
        <v/>
      </c>
      <c r="S58" s="11">
        <f>IF(R58&lt;&gt;"SÍ","",TRIM(IF(L58&gt;=45,"IA≥45 ","")&amp;IF(N58="SÍ","Regulado ","")&amp;IF(O58="SÍ","Queja PI ","")&amp;IF(P58="SÍ","Emergencia ","")&amp;IF(Q58="SÍ","Dirección","")))</f>
        <v/>
      </c>
      <c r="T58" s="11" t="n"/>
    </row>
    <row r="59">
      <c r="A59" s="10" t="n">
        <v>53</v>
      </c>
      <c r="B59" s="11" t="n"/>
      <c r="C59" s="11" t="n"/>
      <c r="D59" s="10" t="n"/>
      <c r="E59" s="11" t="n"/>
      <c r="F59" s="11" t="n"/>
      <c r="G59" s="10" t="n"/>
      <c r="H59" s="10" t="n"/>
      <c r="I59" s="10" t="n"/>
      <c r="J59" s="10" t="n"/>
      <c r="K59" s="10" t="n"/>
      <c r="L59" s="10">
        <f>IF(COUNT(H59:K59)=4,H59*(I59+J59+K59),"")</f>
        <v/>
      </c>
      <c r="M59" s="10">
        <f>IF(L59="","",IF(L59&gt;=45,"Alta",IF(L59&gt;=21,"Moderada","Baja")))</f>
        <v/>
      </c>
      <c r="N59" s="10" t="n"/>
      <c r="O59" s="10" t="n"/>
      <c r="P59" s="10">
        <f>IF(AND(D59="E",I59=5),"SÍ","NO")</f>
        <v/>
      </c>
      <c r="Q59" s="10" t="n"/>
      <c r="R59" s="10">
        <f>IF(L59="","",IF(OR(L59&gt;=45,N59="SÍ",O59="SÍ",P59="SÍ",Q59="SÍ"),"SÍ","NO"))</f>
        <v/>
      </c>
      <c r="S59" s="11">
        <f>IF(R59&lt;&gt;"SÍ","",TRIM(IF(L59&gt;=45,"IA≥45 ","")&amp;IF(N59="SÍ","Regulado ","")&amp;IF(O59="SÍ","Queja PI ","")&amp;IF(P59="SÍ","Emergencia ","")&amp;IF(Q59="SÍ","Dirección","")))</f>
        <v/>
      </c>
      <c r="T59" s="11" t="n"/>
    </row>
    <row r="60">
      <c r="A60" s="10" t="n">
        <v>54</v>
      </c>
      <c r="B60" s="11" t="n"/>
      <c r="C60" s="11" t="n"/>
      <c r="D60" s="10" t="n"/>
      <c r="E60" s="11" t="n"/>
      <c r="F60" s="11" t="n"/>
      <c r="G60" s="10" t="n"/>
      <c r="H60" s="10" t="n"/>
      <c r="I60" s="10" t="n"/>
      <c r="J60" s="10" t="n"/>
      <c r="K60" s="10" t="n"/>
      <c r="L60" s="10">
        <f>IF(COUNT(H60:K60)=4,H60*(I60+J60+K60),"")</f>
        <v/>
      </c>
      <c r="M60" s="10">
        <f>IF(L60="","",IF(L60&gt;=45,"Alta",IF(L60&gt;=21,"Moderada","Baja")))</f>
        <v/>
      </c>
      <c r="N60" s="10" t="n"/>
      <c r="O60" s="10" t="n"/>
      <c r="P60" s="10">
        <f>IF(AND(D60="E",I60=5),"SÍ","NO")</f>
        <v/>
      </c>
      <c r="Q60" s="10" t="n"/>
      <c r="R60" s="10">
        <f>IF(L60="","",IF(OR(L60&gt;=45,N60="SÍ",O60="SÍ",P60="SÍ",Q60="SÍ"),"SÍ","NO"))</f>
        <v/>
      </c>
      <c r="S60" s="11">
        <f>IF(R60&lt;&gt;"SÍ","",TRIM(IF(L60&gt;=45,"IA≥45 ","")&amp;IF(N60="SÍ","Regulado ","")&amp;IF(O60="SÍ","Queja PI ","")&amp;IF(P60="SÍ","Emergencia ","")&amp;IF(Q60="SÍ","Dirección","")))</f>
        <v/>
      </c>
      <c r="T60" s="11" t="n"/>
    </row>
    <row r="61">
      <c r="A61" s="10" t="n">
        <v>55</v>
      </c>
      <c r="B61" s="11" t="n"/>
      <c r="C61" s="11" t="n"/>
      <c r="D61" s="10" t="n"/>
      <c r="E61" s="11" t="n"/>
      <c r="F61" s="11" t="n"/>
      <c r="G61" s="10" t="n"/>
      <c r="H61" s="10" t="n"/>
      <c r="I61" s="10" t="n"/>
      <c r="J61" s="10" t="n"/>
      <c r="K61" s="10" t="n"/>
      <c r="L61" s="10">
        <f>IF(COUNT(H61:K61)=4,H61*(I61+J61+K61),"")</f>
        <v/>
      </c>
      <c r="M61" s="10">
        <f>IF(L61="","",IF(L61&gt;=45,"Alta",IF(L61&gt;=21,"Moderada","Baja")))</f>
        <v/>
      </c>
      <c r="N61" s="10" t="n"/>
      <c r="O61" s="10" t="n"/>
      <c r="P61" s="10">
        <f>IF(AND(D61="E",I61=5),"SÍ","NO")</f>
        <v/>
      </c>
      <c r="Q61" s="10" t="n"/>
      <c r="R61" s="10">
        <f>IF(L61="","",IF(OR(L61&gt;=45,N61="SÍ",O61="SÍ",P61="SÍ",Q61="SÍ"),"SÍ","NO"))</f>
        <v/>
      </c>
      <c r="S61" s="11">
        <f>IF(R61&lt;&gt;"SÍ","",TRIM(IF(L61&gt;=45,"IA≥45 ","")&amp;IF(N61="SÍ","Regulado ","")&amp;IF(O61="SÍ","Queja PI ","")&amp;IF(P61="SÍ","Emergencia ","")&amp;IF(Q61="SÍ","Dirección","")))</f>
        <v/>
      </c>
      <c r="T61" s="11" t="n"/>
    </row>
    <row r="62">
      <c r="A62" s="10" t="n">
        <v>56</v>
      </c>
      <c r="B62" s="11" t="n"/>
      <c r="C62" s="11" t="n"/>
      <c r="D62" s="10" t="n"/>
      <c r="E62" s="11" t="n"/>
      <c r="F62" s="11" t="n"/>
      <c r="G62" s="10" t="n"/>
      <c r="H62" s="10" t="n"/>
      <c r="I62" s="10" t="n"/>
      <c r="J62" s="10" t="n"/>
      <c r="K62" s="10" t="n"/>
      <c r="L62" s="10">
        <f>IF(COUNT(H62:K62)=4,H62*(I62+J62+K62),"")</f>
        <v/>
      </c>
      <c r="M62" s="10">
        <f>IF(L62="","",IF(L62&gt;=45,"Alta",IF(L62&gt;=21,"Moderada","Baja")))</f>
        <v/>
      </c>
      <c r="N62" s="10" t="n"/>
      <c r="O62" s="10" t="n"/>
      <c r="P62" s="10">
        <f>IF(AND(D62="E",I62=5),"SÍ","NO")</f>
        <v/>
      </c>
      <c r="Q62" s="10" t="n"/>
      <c r="R62" s="10">
        <f>IF(L62="","",IF(OR(L62&gt;=45,N62="SÍ",O62="SÍ",P62="SÍ",Q62="SÍ"),"SÍ","NO"))</f>
        <v/>
      </c>
      <c r="S62" s="11">
        <f>IF(R62&lt;&gt;"SÍ","",TRIM(IF(L62&gt;=45,"IA≥45 ","")&amp;IF(N62="SÍ","Regulado ","")&amp;IF(O62="SÍ","Queja PI ","")&amp;IF(P62="SÍ","Emergencia ","")&amp;IF(Q62="SÍ","Dirección","")))</f>
        <v/>
      </c>
      <c r="T62" s="11" t="n"/>
    </row>
    <row r="63">
      <c r="A63" s="10" t="n">
        <v>57</v>
      </c>
      <c r="B63" s="11" t="n"/>
      <c r="C63" s="11" t="n"/>
      <c r="D63" s="10" t="n"/>
      <c r="E63" s="11" t="n"/>
      <c r="F63" s="11" t="n"/>
      <c r="G63" s="10" t="n"/>
      <c r="H63" s="10" t="n"/>
      <c r="I63" s="10" t="n"/>
      <c r="J63" s="10" t="n"/>
      <c r="K63" s="10" t="n"/>
      <c r="L63" s="10">
        <f>IF(COUNT(H63:K63)=4,H63*(I63+J63+K63),"")</f>
        <v/>
      </c>
      <c r="M63" s="10">
        <f>IF(L63="","",IF(L63&gt;=45,"Alta",IF(L63&gt;=21,"Moderada","Baja")))</f>
        <v/>
      </c>
      <c r="N63" s="10" t="n"/>
      <c r="O63" s="10" t="n"/>
      <c r="P63" s="10">
        <f>IF(AND(D63="E",I63=5),"SÍ","NO")</f>
        <v/>
      </c>
      <c r="Q63" s="10" t="n"/>
      <c r="R63" s="10">
        <f>IF(L63="","",IF(OR(L63&gt;=45,N63="SÍ",O63="SÍ",P63="SÍ",Q63="SÍ"),"SÍ","NO"))</f>
        <v/>
      </c>
      <c r="S63" s="11">
        <f>IF(R63&lt;&gt;"SÍ","",TRIM(IF(L63&gt;=45,"IA≥45 ","")&amp;IF(N63="SÍ","Regulado ","")&amp;IF(O63="SÍ","Queja PI ","")&amp;IF(P63="SÍ","Emergencia ","")&amp;IF(Q63="SÍ","Dirección","")))</f>
        <v/>
      </c>
      <c r="T63" s="11" t="n"/>
    </row>
    <row r="64">
      <c r="A64" s="10" t="n">
        <v>58</v>
      </c>
      <c r="B64" s="11" t="n"/>
      <c r="C64" s="11" t="n"/>
      <c r="D64" s="10" t="n"/>
      <c r="E64" s="11" t="n"/>
      <c r="F64" s="11" t="n"/>
      <c r="G64" s="10" t="n"/>
      <c r="H64" s="10" t="n"/>
      <c r="I64" s="10" t="n"/>
      <c r="J64" s="10" t="n"/>
      <c r="K64" s="10" t="n"/>
      <c r="L64" s="10">
        <f>IF(COUNT(H64:K64)=4,H64*(I64+J64+K64),"")</f>
        <v/>
      </c>
      <c r="M64" s="10">
        <f>IF(L64="","",IF(L64&gt;=45,"Alta",IF(L64&gt;=21,"Moderada","Baja")))</f>
        <v/>
      </c>
      <c r="N64" s="10" t="n"/>
      <c r="O64" s="10" t="n"/>
      <c r="P64" s="10">
        <f>IF(AND(D64="E",I64=5),"SÍ","NO")</f>
        <v/>
      </c>
      <c r="Q64" s="10" t="n"/>
      <c r="R64" s="10">
        <f>IF(L64="","",IF(OR(L64&gt;=45,N64="SÍ",O64="SÍ",P64="SÍ",Q64="SÍ"),"SÍ","NO"))</f>
        <v/>
      </c>
      <c r="S64" s="11">
        <f>IF(R64&lt;&gt;"SÍ","",TRIM(IF(L64&gt;=45,"IA≥45 ","")&amp;IF(N64="SÍ","Regulado ","")&amp;IF(O64="SÍ","Queja PI ","")&amp;IF(P64="SÍ","Emergencia ","")&amp;IF(Q64="SÍ","Dirección","")))</f>
        <v/>
      </c>
      <c r="T64" s="11" t="n"/>
    </row>
    <row r="65">
      <c r="A65" s="10" t="n">
        <v>59</v>
      </c>
      <c r="B65" s="11" t="n"/>
      <c r="C65" s="11" t="n"/>
      <c r="D65" s="10" t="n"/>
      <c r="E65" s="11" t="n"/>
      <c r="F65" s="11" t="n"/>
      <c r="G65" s="10" t="n"/>
      <c r="H65" s="10" t="n"/>
      <c r="I65" s="10" t="n"/>
      <c r="J65" s="10" t="n"/>
      <c r="K65" s="10" t="n"/>
      <c r="L65" s="10">
        <f>IF(COUNT(H65:K65)=4,H65*(I65+J65+K65),"")</f>
        <v/>
      </c>
      <c r="M65" s="10">
        <f>IF(L65="","",IF(L65&gt;=45,"Alta",IF(L65&gt;=21,"Moderada","Baja")))</f>
        <v/>
      </c>
      <c r="N65" s="10" t="n"/>
      <c r="O65" s="10" t="n"/>
      <c r="P65" s="10">
        <f>IF(AND(D65="E",I65=5),"SÍ","NO")</f>
        <v/>
      </c>
      <c r="Q65" s="10" t="n"/>
      <c r="R65" s="10">
        <f>IF(L65="","",IF(OR(L65&gt;=45,N65="SÍ",O65="SÍ",P65="SÍ",Q65="SÍ"),"SÍ","NO"))</f>
        <v/>
      </c>
      <c r="S65" s="11">
        <f>IF(R65&lt;&gt;"SÍ","",TRIM(IF(L65&gt;=45,"IA≥45 ","")&amp;IF(N65="SÍ","Regulado ","")&amp;IF(O65="SÍ","Queja PI ","")&amp;IF(P65="SÍ","Emergencia ","")&amp;IF(Q65="SÍ","Dirección","")))</f>
        <v/>
      </c>
      <c r="T65" s="11" t="n"/>
    </row>
    <row r="66">
      <c r="A66" s="10" t="n">
        <v>60</v>
      </c>
      <c r="B66" s="11" t="n"/>
      <c r="C66" s="11" t="n"/>
      <c r="D66" s="10" t="n"/>
      <c r="E66" s="11" t="n"/>
      <c r="F66" s="11" t="n"/>
      <c r="G66" s="10" t="n"/>
      <c r="H66" s="10" t="n"/>
      <c r="I66" s="10" t="n"/>
      <c r="J66" s="10" t="n"/>
      <c r="K66" s="10" t="n"/>
      <c r="L66" s="10">
        <f>IF(COUNT(H66:K66)=4,H66*(I66+J66+K66),"")</f>
        <v/>
      </c>
      <c r="M66" s="10">
        <f>IF(L66="","",IF(L66&gt;=45,"Alta",IF(L66&gt;=21,"Moderada","Baja")))</f>
        <v/>
      </c>
      <c r="N66" s="10" t="n"/>
      <c r="O66" s="10" t="n"/>
      <c r="P66" s="10">
        <f>IF(AND(D66="E",I66=5),"SÍ","NO")</f>
        <v/>
      </c>
      <c r="Q66" s="10" t="n"/>
      <c r="R66" s="10">
        <f>IF(L66="","",IF(OR(L66&gt;=45,N66="SÍ",O66="SÍ",P66="SÍ",Q66="SÍ"),"SÍ","NO"))</f>
        <v/>
      </c>
      <c r="S66" s="11">
        <f>IF(R66&lt;&gt;"SÍ","",TRIM(IF(L66&gt;=45,"IA≥45 ","")&amp;IF(N66="SÍ","Regulado ","")&amp;IF(O66="SÍ","Queja PI ","")&amp;IF(P66="SÍ","Emergencia ","")&amp;IF(Q66="SÍ","Dirección","")))</f>
        <v/>
      </c>
      <c r="T66" s="11" t="n"/>
    </row>
  </sheetData>
  <conditionalFormatting sqref="M7:M66">
    <cfRule type="expression" priority="1" dxfId="0">
      <formula>M7="Alta"</formula>
    </cfRule>
    <cfRule type="expression" priority="2" dxfId="1">
      <formula>M7="Moderada"</formula>
    </cfRule>
    <cfRule type="expression" priority="3" dxfId="2">
      <formula>M7="Baja"</formula>
    </cfRule>
  </conditionalFormatting>
  <conditionalFormatting sqref="R7:R66">
    <cfRule type="expression" priority="4" dxfId="3">
      <formula>R7="SÍ"</formula>
    </cfRule>
  </conditionalFormatting>
  <dataValidations count="5">
    <dataValidation sqref="D7:D66" showDropDown="0" showInputMessage="0" showErrorMessage="0" allowBlank="1" type="list">
      <formula1>"N,A,E"</formula1>
    </dataValidation>
    <dataValidation sqref="G7:G66" showDropDown="0" showInputMessage="0" showErrorMessage="0" allowBlank="1" type="list">
      <formula1>"−,+"</formula1>
    </dataValidation>
    <dataValidation sqref="H7:K66" showDropDown="0" showInputMessage="0" showErrorMessage="0" allowBlank="1" type="list">
      <formula1>"1,3,5"</formula1>
    </dataValidation>
    <dataValidation sqref="N7:O66" showDropDown="0" showInputMessage="0" showErrorMessage="0" allowBlank="1" type="list">
      <formula1>"SÍ,NO"</formula1>
    </dataValidation>
    <dataValidation sqref="Q7:Q66" showDropDown="0" showInputMessage="0" showErrorMessage="0" allowBlank="1" type="list">
      <formula1>"SÍ,NO"</formula1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6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34" customWidth="1" min="2" max="2"/>
    <col width="16" customWidth="1" min="3" max="3"/>
    <col width="40" customWidth="1" min="4" max="4"/>
    <col width="18" customWidth="1" min="5" max="5"/>
    <col width="12" customWidth="1" min="6" max="6"/>
    <col width="30" customWidth="1" min="7" max="7"/>
    <col width="12" customWidth="1" min="8" max="8"/>
  </cols>
  <sheetData>
    <row r="1" ht="26" customHeight="1">
      <c r="C1" s="1" t="inlineStr">
        <is>
          <t>F03 · Plan de control de aspectos significativos</t>
        </is>
      </c>
    </row>
    <row r="2">
      <c r="C2" s="2" t="inlineStr">
        <is>
          <t>Código ASG-AMB-F03 · Versión 1</t>
        </is>
      </c>
    </row>
    <row r="3">
      <c r="C3" s="3" t="inlineStr">
        <is>
          <t>💬 WhatsApp 302 337 9738 · 📧 asegurasig.2026@asegurasig.com</t>
        </is>
      </c>
    </row>
    <row r="6">
      <c r="A6" s="6" t="inlineStr">
        <is>
          <t>#</t>
        </is>
      </c>
      <c r="B6" s="6" t="inlineStr">
        <is>
          <t>Aspecto significativo</t>
        </is>
      </c>
      <c r="C6" s="6" t="inlineStr">
        <is>
          <t>Motivo</t>
        </is>
      </c>
      <c r="D6" s="6" t="inlineStr">
        <is>
          <t>Control (jerarquía)</t>
        </is>
      </c>
      <c r="E6" s="6" t="inlineStr">
        <is>
          <t>Responsable</t>
        </is>
      </c>
      <c r="F6" s="6" t="inlineStr">
        <is>
          <t>Fecha</t>
        </is>
      </c>
      <c r="G6" s="6" t="inlineStr">
        <is>
          <t>Indicador / evidencia</t>
        </is>
      </c>
      <c r="H6" s="6" t="inlineStr">
        <is>
          <t>Estado</t>
        </is>
      </c>
    </row>
    <row r="7">
      <c r="A7" s="12" t="n">
        <v>1</v>
      </c>
      <c r="B7" s="12" t="n"/>
      <c r="C7" s="12" t="n"/>
      <c r="D7" s="12" t="n"/>
      <c r="E7" s="12" t="n"/>
      <c r="F7" s="12" t="n"/>
      <c r="G7" s="12" t="n"/>
      <c r="H7" s="12" t="n"/>
    </row>
    <row r="8">
      <c r="A8" s="12" t="n">
        <v>2</v>
      </c>
      <c r="B8" s="12" t="n"/>
      <c r="C8" s="12" t="n"/>
      <c r="D8" s="12" t="n"/>
      <c r="E8" s="12" t="n"/>
      <c r="F8" s="12" t="n"/>
      <c r="G8" s="12" t="n"/>
      <c r="H8" s="12" t="n"/>
    </row>
    <row r="9">
      <c r="A9" s="12" t="n">
        <v>3</v>
      </c>
      <c r="B9" s="12" t="n"/>
      <c r="C9" s="12" t="n"/>
      <c r="D9" s="12" t="n"/>
      <c r="E9" s="12" t="n"/>
      <c r="F9" s="12" t="n"/>
      <c r="G9" s="12" t="n"/>
      <c r="H9" s="12" t="n"/>
    </row>
    <row r="10">
      <c r="A10" s="12" t="n">
        <v>4</v>
      </c>
      <c r="B10" s="12" t="n"/>
      <c r="C10" s="12" t="n"/>
      <c r="D10" s="12" t="n"/>
      <c r="E10" s="12" t="n"/>
      <c r="F10" s="12" t="n"/>
      <c r="G10" s="12" t="n"/>
      <c r="H10" s="12" t="n"/>
    </row>
    <row r="11">
      <c r="A11" s="12" t="n">
        <v>5</v>
      </c>
      <c r="B11" s="12" t="n"/>
      <c r="C11" s="12" t="n"/>
      <c r="D11" s="12" t="n"/>
      <c r="E11" s="12" t="n"/>
      <c r="F11" s="12" t="n"/>
      <c r="G11" s="12" t="n"/>
      <c r="H11" s="12" t="n"/>
    </row>
    <row r="12">
      <c r="A12" s="12" t="n">
        <v>6</v>
      </c>
      <c r="B12" s="12" t="n"/>
      <c r="C12" s="12" t="n"/>
      <c r="D12" s="12" t="n"/>
      <c r="E12" s="12" t="n"/>
      <c r="F12" s="12" t="n"/>
      <c r="G12" s="12" t="n"/>
      <c r="H12" s="12" t="n"/>
    </row>
    <row r="13">
      <c r="A13" s="12" t="n">
        <v>7</v>
      </c>
      <c r="B13" s="12" t="n"/>
      <c r="C13" s="12" t="n"/>
      <c r="D13" s="12" t="n"/>
      <c r="E13" s="12" t="n"/>
      <c r="F13" s="12" t="n"/>
      <c r="G13" s="12" t="n"/>
      <c r="H13" s="12" t="n"/>
    </row>
    <row r="14">
      <c r="A14" s="12" t="n">
        <v>8</v>
      </c>
      <c r="B14" s="12" t="n"/>
      <c r="C14" s="12" t="n"/>
      <c r="D14" s="12" t="n"/>
      <c r="E14" s="12" t="n"/>
      <c r="F14" s="12" t="n"/>
      <c r="G14" s="12" t="n"/>
      <c r="H14" s="12" t="n"/>
    </row>
    <row r="15">
      <c r="A15" s="12" t="n">
        <v>9</v>
      </c>
      <c r="B15" s="12" t="n"/>
      <c r="C15" s="12" t="n"/>
      <c r="D15" s="12" t="n"/>
      <c r="E15" s="12" t="n"/>
      <c r="F15" s="12" t="n"/>
      <c r="G15" s="12" t="n"/>
      <c r="H15" s="12" t="n"/>
    </row>
    <row r="16">
      <c r="A16" s="12" t="n">
        <v>10</v>
      </c>
      <c r="B16" s="12" t="n"/>
      <c r="C16" s="12" t="n"/>
      <c r="D16" s="12" t="n"/>
      <c r="E16" s="12" t="n"/>
      <c r="F16" s="12" t="n"/>
      <c r="G16" s="12" t="n"/>
      <c r="H16" s="12" t="n"/>
    </row>
    <row r="17">
      <c r="A17" s="12" t="n">
        <v>11</v>
      </c>
      <c r="B17" s="12" t="n"/>
      <c r="C17" s="12" t="n"/>
      <c r="D17" s="12" t="n"/>
      <c r="E17" s="12" t="n"/>
      <c r="F17" s="12" t="n"/>
      <c r="G17" s="12" t="n"/>
      <c r="H17" s="12" t="n"/>
    </row>
    <row r="18">
      <c r="A18" s="12" t="n">
        <v>12</v>
      </c>
      <c r="B18" s="12" t="n"/>
      <c r="C18" s="12" t="n"/>
      <c r="D18" s="12" t="n"/>
      <c r="E18" s="12" t="n"/>
      <c r="F18" s="12" t="n"/>
      <c r="G18" s="12" t="n"/>
      <c r="H18" s="12" t="n"/>
    </row>
    <row r="19">
      <c r="A19" s="12" t="n">
        <v>13</v>
      </c>
      <c r="B19" s="12" t="n"/>
      <c r="C19" s="12" t="n"/>
      <c r="D19" s="12" t="n"/>
      <c r="E19" s="12" t="n"/>
      <c r="F19" s="12" t="n"/>
      <c r="G19" s="12" t="n"/>
      <c r="H19" s="12" t="n"/>
    </row>
    <row r="20">
      <c r="A20" s="12" t="n">
        <v>14</v>
      </c>
      <c r="B20" s="12" t="n"/>
      <c r="C20" s="12" t="n"/>
      <c r="D20" s="12" t="n"/>
      <c r="E20" s="12" t="n"/>
      <c r="F20" s="12" t="n"/>
      <c r="G20" s="12" t="n"/>
      <c r="H20" s="12" t="n"/>
    </row>
    <row r="21">
      <c r="A21" s="12" t="n">
        <v>15</v>
      </c>
      <c r="B21" s="12" t="n"/>
      <c r="C21" s="12" t="n"/>
      <c r="D21" s="12" t="n"/>
      <c r="E21" s="12" t="n"/>
      <c r="F21" s="12" t="n"/>
      <c r="G21" s="12" t="n"/>
      <c r="H21" s="12" t="n"/>
    </row>
    <row r="22">
      <c r="A22" s="12" t="n">
        <v>16</v>
      </c>
      <c r="B22" s="12" t="n"/>
      <c r="C22" s="12" t="n"/>
      <c r="D22" s="12" t="n"/>
      <c r="E22" s="12" t="n"/>
      <c r="F22" s="12" t="n"/>
      <c r="G22" s="12" t="n"/>
      <c r="H22" s="12" t="n"/>
    </row>
    <row r="23">
      <c r="A23" s="12" t="n">
        <v>17</v>
      </c>
      <c r="B23" s="12" t="n"/>
      <c r="C23" s="12" t="n"/>
      <c r="D23" s="12" t="n"/>
      <c r="E23" s="12" t="n"/>
      <c r="F23" s="12" t="n"/>
      <c r="G23" s="12" t="n"/>
      <c r="H23" s="12" t="n"/>
    </row>
    <row r="24">
      <c r="A24" s="12" t="n">
        <v>18</v>
      </c>
      <c r="B24" s="12" t="n"/>
      <c r="C24" s="12" t="n"/>
      <c r="D24" s="12" t="n"/>
      <c r="E24" s="12" t="n"/>
      <c r="F24" s="12" t="n"/>
      <c r="G24" s="12" t="n"/>
      <c r="H24" s="12" t="n"/>
    </row>
    <row r="25">
      <c r="A25" s="12" t="n">
        <v>19</v>
      </c>
      <c r="B25" s="12" t="n"/>
      <c r="C25" s="12" t="n"/>
      <c r="D25" s="12" t="n"/>
      <c r="E25" s="12" t="n"/>
      <c r="F25" s="12" t="n"/>
      <c r="G25" s="12" t="n"/>
      <c r="H25" s="12" t="n"/>
    </row>
    <row r="26">
      <c r="A26" s="12" t="n">
        <v>20</v>
      </c>
      <c r="B26" s="12" t="n"/>
      <c r="C26" s="12" t="n"/>
      <c r="D26" s="12" t="n"/>
      <c r="E26" s="12" t="n"/>
      <c r="F26" s="12" t="n"/>
      <c r="G26" s="12" t="n"/>
      <c r="H26" s="12" t="n"/>
    </row>
    <row r="27">
      <c r="A27" s="12" t="n">
        <v>21</v>
      </c>
      <c r="B27" s="12" t="n"/>
      <c r="C27" s="12" t="n"/>
      <c r="D27" s="12" t="n"/>
      <c r="E27" s="12" t="n"/>
      <c r="F27" s="12" t="n"/>
      <c r="G27" s="12" t="n"/>
      <c r="H27" s="12" t="n"/>
    </row>
    <row r="28">
      <c r="A28" s="12" t="n">
        <v>22</v>
      </c>
      <c r="B28" s="12" t="n"/>
      <c r="C28" s="12" t="n"/>
      <c r="D28" s="12" t="n"/>
      <c r="E28" s="12" t="n"/>
      <c r="F28" s="12" t="n"/>
      <c r="G28" s="12" t="n"/>
      <c r="H28" s="12" t="n"/>
    </row>
    <row r="29">
      <c r="A29" s="12" t="n">
        <v>23</v>
      </c>
      <c r="B29" s="12" t="n"/>
      <c r="C29" s="12" t="n"/>
      <c r="D29" s="12" t="n"/>
      <c r="E29" s="12" t="n"/>
      <c r="F29" s="12" t="n"/>
      <c r="G29" s="12" t="n"/>
      <c r="H29" s="12" t="n"/>
    </row>
    <row r="30">
      <c r="A30" s="12" t="n">
        <v>24</v>
      </c>
      <c r="B30" s="12" t="n"/>
      <c r="C30" s="12" t="n"/>
      <c r="D30" s="12" t="n"/>
      <c r="E30" s="12" t="n"/>
      <c r="F30" s="12" t="n"/>
      <c r="G30" s="12" t="n"/>
      <c r="H30" s="12" t="n"/>
    </row>
    <row r="31">
      <c r="A31" s="12" t="n">
        <v>25</v>
      </c>
      <c r="B31" s="12" t="n"/>
      <c r="C31" s="12" t="n"/>
      <c r="D31" s="12" t="n"/>
      <c r="E31" s="12" t="n"/>
      <c r="F31" s="12" t="n"/>
      <c r="G31" s="12" t="n"/>
      <c r="H31" s="12" t="n"/>
    </row>
    <row r="32">
      <c r="A32" s="12" t="n">
        <v>26</v>
      </c>
      <c r="B32" s="12" t="n"/>
      <c r="C32" s="12" t="n"/>
      <c r="D32" s="12" t="n"/>
      <c r="E32" s="12" t="n"/>
      <c r="F32" s="12" t="n"/>
      <c r="G32" s="12" t="n"/>
      <c r="H32" s="12" t="n"/>
    </row>
    <row r="33">
      <c r="A33" s="12" t="n">
        <v>27</v>
      </c>
      <c r="B33" s="12" t="n"/>
      <c r="C33" s="12" t="n"/>
      <c r="D33" s="12" t="n"/>
      <c r="E33" s="12" t="n"/>
      <c r="F33" s="12" t="n"/>
      <c r="G33" s="12" t="n"/>
      <c r="H33" s="12" t="n"/>
    </row>
    <row r="34">
      <c r="A34" s="12" t="n">
        <v>28</v>
      </c>
      <c r="B34" s="12" t="n"/>
      <c r="C34" s="12" t="n"/>
      <c r="D34" s="12" t="n"/>
      <c r="E34" s="12" t="n"/>
      <c r="F34" s="12" t="n"/>
      <c r="G34" s="12" t="n"/>
      <c r="H34" s="12" t="n"/>
    </row>
    <row r="35">
      <c r="A35" s="12" t="n">
        <v>29</v>
      </c>
      <c r="B35" s="12" t="n"/>
      <c r="C35" s="12" t="n"/>
      <c r="D35" s="12" t="n"/>
      <c r="E35" s="12" t="n"/>
      <c r="F35" s="12" t="n"/>
      <c r="G35" s="12" t="n"/>
      <c r="H35" s="12" t="n"/>
    </row>
    <row r="36">
      <c r="A36" s="12" t="n">
        <v>30</v>
      </c>
      <c r="B36" s="12" t="n"/>
      <c r="C36" s="12" t="n"/>
      <c r="D36" s="12" t="n"/>
      <c r="E36" s="12" t="n"/>
      <c r="F36" s="12" t="n"/>
      <c r="G36" s="12" t="n"/>
      <c r="H36" s="12" t="n"/>
    </row>
  </sheetData>
  <dataValidations count="1">
    <dataValidation sqref="H7:H36" showDropDown="0" showInputMessage="0" showErrorMessage="0" allowBlank="0" type="list">
      <formula1>"Pendiente,En curso,Cerrado"</formula1>
    </dataValidation>
  </dataValidation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2026-10-20T19:25:36Z</dcterms:created>
  <dcterms:modified xmlns:dcterms="http://purl.org/dc/terms/" xmlns:xsi="http://www.w3.org/2001/XMLSchema-instance" xsi:type="dcterms:W3CDTF">2026-10-20T19:25:36Z</dcterms:modified>
</cp:coreProperties>
</file>